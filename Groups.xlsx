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<sst xmlns="http://schemas.openxmlformats.org/spreadsheetml/2006/main" count="1338" uniqueCount="199">
  <si>
    <t xml:space="preserve">qupath: ~/SpleeenFollicleCounterQP, D6-36LinuxTopShelf</t>
  </si>
  <si>
    <t xml:space="preserve">hipergator</t>
  </si>
  <si>
    <t xml:space="preserve">/run/user/1001/gvfs/smb-share:server=path.ahc.ufl.edu,share=path$/PERSONAL/smith6jt/Processed_CODEX/HANDEL_Spleen</t>
  </si>
  <si>
    <t xml:space="preserve">UNOS</t>
  </si>
  <si>
    <t xml:space="preserve">ALT ID</t>
  </si>
  <si>
    <t xml:space="preserve">HUBMAP#</t>
  </si>
  <si>
    <t xml:space="preserve">HANDEL ID</t>
  </si>
  <si>
    <t xml:space="preserve">Platform</t>
  </si>
  <si>
    <t xml:space="preserve">Panel</t>
  </si>
  <si>
    <t xml:space="preserve">Samples</t>
  </si>
  <si>
    <t xml:space="preserve">In SpleenFollicleCounterQP Project?</t>
  </si>
  <si>
    <t xml:space="preserve">Age (yrs)</t>
  </si>
  <si>
    <t xml:space="preserve">Gender</t>
  </si>
  <si>
    <t xml:space="preserve">Ethnicity</t>
  </si>
  <si>
    <t xml:space="preserve">C-pep (ng/ml)</t>
  </si>
  <si>
    <t xml:space="preserve">HbA1c</t>
  </si>
  <si>
    <t xml:space="preserve">BMI</t>
  </si>
  <si>
    <t xml:space="preserve">rs3184504</t>
  </si>
  <si>
    <t xml:space="preserve">rs3184504_risk_het_prot</t>
  </si>
  <si>
    <t xml:space="preserve">rs10492166</t>
  </si>
  <si>
    <t xml:space="preserve">rs10492166_risk_het_prot</t>
  </si>
  <si>
    <t xml:space="preserve">rs10947332</t>
  </si>
  <si>
    <t xml:space="preserve">rs10947332_risk_het_prot</t>
  </si>
  <si>
    <t xml:space="preserve">rs11170466</t>
  </si>
  <si>
    <t xml:space="preserve">rs11170466_risk_het_prot</t>
  </si>
  <si>
    <t xml:space="preserve">rs117806464</t>
  </si>
  <si>
    <t xml:space="preserve">rs117806464_risk_het_prot</t>
  </si>
  <si>
    <t xml:space="preserve">rs12189871</t>
  </si>
  <si>
    <t xml:space="preserve">rs12189871_risk_het_prot</t>
  </si>
  <si>
    <t xml:space="preserve">rs12708716</t>
  </si>
  <si>
    <t xml:space="preserve">rs12708716_risk_het_prot</t>
  </si>
  <si>
    <t xml:space="preserve">rs1281935</t>
  </si>
  <si>
    <t xml:space="preserve">rs1281935_risk_het_prot</t>
  </si>
  <si>
    <t xml:space="preserve">rs149663102</t>
  </si>
  <si>
    <t xml:space="preserve">rs149663102_risk_het_prot</t>
  </si>
  <si>
    <t xml:space="preserve">rs1615504</t>
  </si>
  <si>
    <t xml:space="preserve">rs1615504_risk_het_prot</t>
  </si>
  <si>
    <t xml:space="preserve">rs16899379</t>
  </si>
  <si>
    <t xml:space="preserve">rs16899379_risk_het_prot</t>
  </si>
  <si>
    <t xml:space="preserve">rs17214657</t>
  </si>
  <si>
    <t xml:space="preserve">rs17214657_risk_het_prot</t>
  </si>
  <si>
    <t xml:space="preserve">rs1738074</t>
  </si>
  <si>
    <t xml:space="preserve">rs1738074_risk_het_prot</t>
  </si>
  <si>
    <t xml:space="preserve">rs17388568</t>
  </si>
  <si>
    <t xml:space="preserve">rs17388568_risk_het_prot</t>
  </si>
  <si>
    <t xml:space="preserve">rs1893217</t>
  </si>
  <si>
    <t xml:space="preserve">rs1893217_risk_het_prot</t>
  </si>
  <si>
    <t xml:space="preserve">rs2111485</t>
  </si>
  <si>
    <t xml:space="preserve">rs2111485_risk_het_prot</t>
  </si>
  <si>
    <t xml:space="preserve">rs2281808</t>
  </si>
  <si>
    <t xml:space="preserve">rs2281808_risk_het_prot</t>
  </si>
  <si>
    <t xml:space="preserve">rs2289702</t>
  </si>
  <si>
    <t xml:space="preserve">rs2289702_risk_het_prot</t>
  </si>
  <si>
    <t xml:space="preserve">rs229541</t>
  </si>
  <si>
    <t xml:space="preserve">rs229541_risk_het_prot</t>
  </si>
  <si>
    <t xml:space="preserve">rs2567287</t>
  </si>
  <si>
    <t xml:space="preserve">rs2567287_risk_het_prot</t>
  </si>
  <si>
    <t xml:space="preserve">rs3024505</t>
  </si>
  <si>
    <t xml:space="preserve">rs3024505_risk_het_prot</t>
  </si>
  <si>
    <t xml:space="preserve">rs3087243</t>
  </si>
  <si>
    <t xml:space="preserve">rs3087243_risk_het_prot</t>
  </si>
  <si>
    <t xml:space="preserve">rs3842753</t>
  </si>
  <si>
    <t xml:space="preserve">rs3842753_risk_het_prot</t>
  </si>
  <si>
    <t xml:space="preserve">rs41295121</t>
  </si>
  <si>
    <t xml:space="preserve">rs41295121_risk_het_prot</t>
  </si>
  <si>
    <t xml:space="preserve">rs425105</t>
  </si>
  <si>
    <t xml:space="preserve">rs425105_risk_het_prot</t>
  </si>
  <si>
    <t xml:space="preserve">rs4759229</t>
  </si>
  <si>
    <t xml:space="preserve">rs4759229_risk_het_prot</t>
  </si>
  <si>
    <t xml:space="preserve">rs4948088</t>
  </si>
  <si>
    <t xml:space="preserve">rs4948088_risk_het_prot</t>
  </si>
  <si>
    <t xml:space="preserve">rs56994090</t>
  </si>
  <si>
    <t xml:space="preserve">rs56994090_risk_het_prot</t>
  </si>
  <si>
    <t xml:space="preserve">rs5763779</t>
  </si>
  <si>
    <t xml:space="preserve">rs5763779_risk_het_prot</t>
  </si>
  <si>
    <t xml:space="preserve">rs60888743</t>
  </si>
  <si>
    <t xml:space="preserve">rs60888743_risk_het_prot</t>
  </si>
  <si>
    <t xml:space="preserve">rs61839660</t>
  </si>
  <si>
    <t xml:space="preserve">rs61839660_risk_het_prot</t>
  </si>
  <si>
    <t xml:space="preserve">rs62406889</t>
  </si>
  <si>
    <t xml:space="preserve">rs62406889_risk_het_prot</t>
  </si>
  <si>
    <t xml:space="preserve">rs6476839</t>
  </si>
  <si>
    <t xml:space="preserve">rs6476839_risk_het_prot</t>
  </si>
  <si>
    <t xml:space="preserve">rs653178</t>
  </si>
  <si>
    <t xml:space="preserve">rs653178_risk_het_prot</t>
  </si>
  <si>
    <t xml:space="preserve">rs6679677</t>
  </si>
  <si>
    <t xml:space="preserve">rs6934289</t>
  </si>
  <si>
    <t xml:space="preserve">rs6934289_risk_het_prot</t>
  </si>
  <si>
    <t xml:space="preserve">rs72727394</t>
  </si>
  <si>
    <t xml:space="preserve">rs72727394_risk_het_prot</t>
  </si>
  <si>
    <t xml:space="preserve">rs72848653</t>
  </si>
  <si>
    <t xml:space="preserve">rs72848653_risk_het_prot</t>
  </si>
  <si>
    <t xml:space="preserve">rs72928038</t>
  </si>
  <si>
    <t xml:space="preserve">rs72928038_risk_het_prot</t>
  </si>
  <si>
    <t xml:space="preserve">rs74956615</t>
  </si>
  <si>
    <t xml:space="preserve">rs74956615_risk_het_prot</t>
  </si>
  <si>
    <t xml:space="preserve">rs75658393</t>
  </si>
  <si>
    <t xml:space="preserve">rs75658393_risk_het_prot</t>
  </si>
  <si>
    <t xml:space="preserve">rs9273369</t>
  </si>
  <si>
    <t xml:space="preserve">rs9273369_risk_het_prot</t>
  </si>
  <si>
    <t xml:space="preserve">rs9275490</t>
  </si>
  <si>
    <t xml:space="preserve">rs9275490_risk_het_prot</t>
  </si>
  <si>
    <t xml:space="preserve">rs9378176</t>
  </si>
  <si>
    <t xml:space="preserve">rs9378176_risk_het_prot</t>
  </si>
  <si>
    <t xml:space="preserve">rs9388489</t>
  </si>
  <si>
    <t xml:space="preserve">rs9388489_risk_het_prot</t>
  </si>
  <si>
    <t xml:space="preserve">rs9405117</t>
  </si>
  <si>
    <t xml:space="preserve">rs9405117_risk_het_prot</t>
  </si>
  <si>
    <t xml:space="preserve">rs9469200</t>
  </si>
  <si>
    <t xml:space="preserve">rs9469200_risk_het_prot</t>
  </si>
  <si>
    <t xml:space="preserve">rs9500974</t>
  </si>
  <si>
    <t xml:space="preserve">rs9500974_risk_het_prot</t>
  </si>
  <si>
    <t xml:space="preserve">rs9585056</t>
  </si>
  <si>
    <t xml:space="preserve">rs9585056_risk_het_prot</t>
  </si>
  <si>
    <t xml:space="preserve">rs9924471</t>
  </si>
  <si>
    <t xml:space="preserve">rs9924471_risk_het_prot</t>
  </si>
  <si>
    <t xml:space="preserve">rs9981624</t>
  </si>
  <si>
    <t xml:space="preserve">rs9981624_risk_het_prot</t>
  </si>
  <si>
    <t xml:space="preserve">rs1049124</t>
  </si>
  <si>
    <t xml:space="preserve">rs1233320</t>
  </si>
  <si>
    <t xml:space="preserve">rs1281943</t>
  </si>
  <si>
    <t xml:space="preserve">rs17840116</t>
  </si>
  <si>
    <t xml:space="preserve">rs2596564</t>
  </si>
  <si>
    <t xml:space="preserve">rs28724229</t>
  </si>
  <si>
    <t xml:space="preserve">rs2975049</t>
  </si>
  <si>
    <t xml:space="preserve">rs3129197</t>
  </si>
  <si>
    <t xml:space="preserve">rs3135191</t>
  </si>
  <si>
    <t xml:space="preserve">rs4713588</t>
  </si>
  <si>
    <t xml:space="preserve">rs571331280</t>
  </si>
  <si>
    <t xml:space="preserve">rs9259013</t>
  </si>
  <si>
    <t xml:space="preserve">rs9266268</t>
  </si>
  <si>
    <t xml:space="preserve">rs9268500</t>
  </si>
  <si>
    <t xml:space="preserve">rs9268690</t>
  </si>
  <si>
    <t xml:space="preserve">rs9271347</t>
  </si>
  <si>
    <t xml:space="preserve">rs9273032</t>
  </si>
  <si>
    <t xml:space="preserve">x</t>
  </si>
  <si>
    <t xml:space="preserve">NA</t>
  </si>
  <si>
    <t xml:space="preserve">HDL011</t>
  </si>
  <si>
    <t xml:space="preserve">Phenocycler</t>
  </si>
  <si>
    <t xml:space="preserve">yes</t>
  </si>
  <si>
    <t xml:space="preserve">Female</t>
  </si>
  <si>
    <t xml:space="preserve">African American</t>
  </si>
  <si>
    <t xml:space="preserve">No Data</t>
  </si>
  <si>
    <t xml:space="preserve">C/C</t>
  </si>
  <si>
    <t xml:space="preserve">Protective</t>
  </si>
  <si>
    <t xml:space="preserve">G A</t>
  </si>
  <si>
    <t xml:space="preserve">G G</t>
  </si>
  <si>
    <t xml:space="preserve">T T</t>
  </si>
  <si>
    <t xml:space="preserve">C C</t>
  </si>
  <si>
    <t xml:space="preserve">A A</t>
  </si>
  <si>
    <t xml:space="preserve">TG TG</t>
  </si>
  <si>
    <t xml:space="preserve">T C</t>
  </si>
  <si>
    <t xml:space="preserve">C T</t>
  </si>
  <si>
    <t xml:space="preserve">G T</t>
  </si>
  <si>
    <t xml:space="preserve">A G</t>
  </si>
  <si>
    <t xml:space="preserve">G C</t>
  </si>
  <si>
    <t xml:space="preserve">A T</t>
  </si>
  <si>
    <t xml:space="preserve">HDL053</t>
  </si>
  <si>
    <t xml:space="preserve">Male</t>
  </si>
  <si>
    <t xml:space="preserve">Caucasian</t>
  </si>
  <si>
    <t xml:space="preserve">C A</t>
  </si>
  <si>
    <t xml:space="preserve">HDL055</t>
  </si>
  <si>
    <t xml:space="preserve">C G</t>
  </si>
  <si>
    <t xml:space="preserve">AHBK060</t>
  </si>
  <si>
    <t xml:space="preserve">HBMP008</t>
  </si>
  <si>
    <t xml:space="preserve">HDL098</t>
  </si>
  <si>
    <t xml:space="preserve">CODEX</t>
  </si>
  <si>
    <t xml:space="preserve">HDL043</t>
  </si>
  <si>
    <t xml:space="preserve">T/C</t>
  </si>
  <si>
    <t xml:space="preserve">Het</t>
  </si>
  <si>
    <t xml:space="preserve">HDL052</t>
  </si>
  <si>
    <t xml:space="preserve">HBMP003</t>
  </si>
  <si>
    <t xml:space="preserve">HDL070</t>
  </si>
  <si>
    <t xml:space="preserve">ip</t>
  </si>
  <si>
    <t xml:space="preserve">HDL079</t>
  </si>
  <si>
    <t xml:space="preserve">HDL086</t>
  </si>
  <si>
    <t xml:space="preserve">HBMP005</t>
  </si>
  <si>
    <t xml:space="preserve">HDL094</t>
  </si>
  <si>
    <t xml:space="preserve">no</t>
  </si>
  <si>
    <t xml:space="preserve">HBMP006</t>
  </si>
  <si>
    <t xml:space="preserve">HBMP007</t>
  </si>
  <si>
    <t xml:space="preserve">x-25panel</t>
  </si>
  <si>
    <t xml:space="preserve">HDL018</t>
  </si>
  <si>
    <t xml:space="preserve">Hispanic</t>
  </si>
  <si>
    <t xml:space="preserve">HDL021</t>
  </si>
  <si>
    <t xml:space="preserve">HDL063</t>
  </si>
  <si>
    <t xml:space="preserve">T/T</t>
  </si>
  <si>
    <t xml:space="preserve">Risk</t>
  </si>
  <si>
    <t xml:space="preserve">AGG3197</t>
  </si>
  <si>
    <t xml:space="preserve">HBMP002</t>
  </si>
  <si>
    <t xml:space="preserve">HDL073</t>
  </si>
  <si>
    <t xml:space="preserve">AGG1055</t>
  </si>
  <si>
    <t xml:space="preserve">HBMP004</t>
  </si>
  <si>
    <t xml:space="preserve">HDL172</t>
  </si>
  <si>
    <t xml:space="preserve">HBMP011</t>
  </si>
  <si>
    <t xml:space="preserve">HDL054</t>
  </si>
  <si>
    <t xml:space="preserve">AGHF354</t>
  </si>
  <si>
    <t xml:space="preserve">HBMP001</t>
  </si>
  <si>
    <t xml:space="preserve">HDL075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</si>
</sst>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5.3"/>
    <col collapsed="false" customWidth="true" hidden="false" outlineLevel="0" max="2" min="2" style="1" width="6.53"/>
    <col collapsed="false" customWidth="true" hidden="false" outlineLevel="0" max="3" min="3" style="1" width="18.49"/>
    <col collapsed="false" customWidth="true" hidden="false" outlineLevel="0" max="4" min="4" style="1" width="10.71"/>
    <col collapsed="false" customWidth="true" hidden="false" outlineLevel="0" max="5" min="5" style="2" width="8.34"/>
    <col collapsed="false" customWidth="false" hidden="false" outlineLevel="0" max="6" min="6" style="2" width="11.53"/>
    <col collapsed="false" customWidth="true" hidden="false" outlineLevel="0" max="8" min="7" style="2" width="14.33"/>
    <col collapsed="false" customWidth="true" hidden="false" outlineLevel="0" max="9" min="9" style="2" width="7.23"/>
    <col collapsed="false" customWidth="true" hidden="false" outlineLevel="0" max="10" min="10" style="2" width="11.96"/>
    <col collapsed="false" customWidth="true" hidden="false" outlineLevel="0" max="11" min="11" style="2" width="14.33"/>
    <col collapsed="false" customWidth="false" hidden="false" outlineLevel="0" max="18" min="12" style="2" width="11.53"/>
    <col collapsed="false" customWidth="true" hidden="false" outlineLevel="0" max="19" min="19" style="1" width="12.23"/>
    <col collapsed="false" customWidth="false" hidden="false" outlineLevel="0" max="135" min="20" style="1" width="11.53"/>
    <col collapsed="false" customWidth="false" hidden="false" outlineLevel="0" max="16384" min="137" style="1" width="11.53"/>
  </cols>
  <sheetData>
    <row r="1" s="4" customFormat="true" ht="135.8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0"/>
    </row>
    <row r="2" s="7" customFormat="true" ht="15" hidden="false" customHeight="false" outlineLevel="0" collapsed="false">
      <c r="A2" s="7" t="s">
        <v>135</v>
      </c>
      <c r="E2" s="2" t="s">
        <v>136</v>
      </c>
      <c r="F2" s="2" t="s">
        <v>136</v>
      </c>
      <c r="G2" s="7" t="s">
        <v>137</v>
      </c>
      <c r="H2" s="2" t="s">
        <v>138</v>
      </c>
      <c r="I2" s="7" t="n">
        <v>33</v>
      </c>
      <c r="J2" s="2"/>
      <c r="K2" s="2" t="s">
        <v>139</v>
      </c>
      <c r="L2" s="8" t="n">
        <v>8</v>
      </c>
      <c r="M2" s="7" t="s">
        <v>140</v>
      </c>
      <c r="N2" s="7" t="s">
        <v>141</v>
      </c>
      <c r="O2" s="7" t="n">
        <v>1.33</v>
      </c>
      <c r="P2" s="7" t="s">
        <v>142</v>
      </c>
      <c r="Q2" s="7" t="n">
        <v>12</v>
      </c>
      <c r="R2" s="7" t="s">
        <v>143</v>
      </c>
      <c r="S2" s="7" t="s">
        <v>144</v>
      </c>
      <c r="T2" s="7" t="s">
        <v>145</v>
      </c>
      <c r="U2" s="7" t="str">
        <f aca="false">IF(T2="G G", "Risk", IF(T2="A A", "Protective", "Het"))</f>
        <v>Het</v>
      </c>
      <c r="V2" s="7" t="s">
        <v>146</v>
      </c>
      <c r="W2" s="7" t="str">
        <f aca="false">IF(V2="G G", "Risk", IF(V2="A A", "Protective", "Het"))</f>
        <v>Risk</v>
      </c>
      <c r="X2" s="7" t="s">
        <v>147</v>
      </c>
      <c r="Y2" s="7" t="str">
        <f aca="false">IF(X2="T T", "Risk", IF(X2="C C", "Protective", "Het"))</f>
        <v>Risk</v>
      </c>
      <c r="Z2" s="7" t="s">
        <v>146</v>
      </c>
      <c r="AA2" s="7" t="str">
        <f aca="false">IF(Z2="G G", "Risk", IF(Z2="A A", "Protective", "Het"))</f>
        <v>Risk</v>
      </c>
      <c r="AB2" s="7" t="s">
        <v>148</v>
      </c>
      <c r="AC2" s="7" t="str">
        <f aca="false">IF(AB2="T T", "Risk", IF(AB2="C C", "Protective", "Het"))</f>
        <v>Protective</v>
      </c>
      <c r="AD2" s="7" t="s">
        <v>149</v>
      </c>
      <c r="AE2" s="7" t="str">
        <f aca="false">IF(AD2="A A", "Risk", IF(AD2="G G", "Protective", "Het"))</f>
        <v>Risk</v>
      </c>
      <c r="AF2" s="7" t="s">
        <v>146</v>
      </c>
      <c r="AG2" s="7" t="str">
        <f aca="false">IF(AF2="G G", "Risk", IF(AF2="T T", "Protective", "Het"))</f>
        <v>Risk</v>
      </c>
      <c r="AH2" s="7" t="s">
        <v>150</v>
      </c>
      <c r="AI2" s="7" t="str">
        <f aca="false">IF(AH2="TG TG", "Risk", IF(AH2="T T", "Protective", "Het"))</f>
        <v>Risk</v>
      </c>
      <c r="AJ2" s="7" t="s">
        <v>151</v>
      </c>
      <c r="AK2" s="7" t="str">
        <f aca="false">IF(AJ2="T T", "Risk", IF(AJ2="C C", "Protective", "Het"))</f>
        <v>Het</v>
      </c>
      <c r="AL2" s="7" t="s">
        <v>146</v>
      </c>
      <c r="AM2" s="7" t="str">
        <f aca="false">IF(AL2="G G", "Risk", IF(AL2="A A", "Protective", "Het"))</f>
        <v>Risk</v>
      </c>
      <c r="AN2" s="7" t="s">
        <v>147</v>
      </c>
      <c r="AO2" s="7" t="str">
        <f aca="false">IF(AN2="T T", "Risk", IF(AN2="C C", "Protective", "Het"))</f>
        <v>Risk</v>
      </c>
      <c r="AP2" s="7" t="s">
        <v>152</v>
      </c>
      <c r="AQ2" s="7" t="str">
        <f aca="false">IF(AP2="C C", "Risk", IF(AP2="T T", "Protective", "Het"))</f>
        <v>Het</v>
      </c>
      <c r="AR2" s="7" t="s">
        <v>146</v>
      </c>
      <c r="AS2" s="7" t="str">
        <f aca="false">IF(AR2="A A", "Risk", IF(AR2="G G", "Protective", "Het"))</f>
        <v>Protective</v>
      </c>
      <c r="AT2" s="7" t="s">
        <v>149</v>
      </c>
      <c r="AU2" s="7" t="str">
        <f aca="false">IF(AT2="G G", "Risk", IF(AT2="A A", "Protective", "Het"))</f>
        <v>Protective</v>
      </c>
      <c r="AV2" s="7" t="s">
        <v>145</v>
      </c>
      <c r="AW2" s="7" t="str">
        <f aca="false">IF(AV2="G G", "Risk", IF(AV2="A A", "Protective", "Het"))</f>
        <v>Het</v>
      </c>
      <c r="AX2" s="7" t="s">
        <v>148</v>
      </c>
      <c r="AY2" s="7" t="str">
        <f aca="false">IF(AX2="C C", "Risk", IF(AX2="T T", "Protective", "Het"))</f>
        <v>Risk</v>
      </c>
      <c r="AZ2" s="7" t="s">
        <v>148</v>
      </c>
      <c r="BA2" s="7" t="str">
        <f aca="false">IF(AZ2="C C", "Risk", IF(AZ2="T T", "Protective", "Het"))</f>
        <v>Risk</v>
      </c>
      <c r="BB2" s="7" t="s">
        <v>149</v>
      </c>
      <c r="BC2" s="7" t="str">
        <f aca="false">IF(BB2="A A", "Risk", IF(BB2="G G", "Protective", "Het"))</f>
        <v>Risk</v>
      </c>
      <c r="BD2" s="7" t="s">
        <v>146</v>
      </c>
      <c r="BE2" s="7" t="str">
        <f aca="false">IF(BD2="A A", "Risk", IF(BD2="G G", "Protective", "Het"))</f>
        <v>Protective</v>
      </c>
      <c r="BF2" s="7" t="s">
        <v>146</v>
      </c>
      <c r="BG2" s="7" t="str">
        <f aca="false">IF(BF2="G G", "Risk", IF(BF2="A A", "Protective", "Het"))</f>
        <v>Risk</v>
      </c>
      <c r="BH2" s="7" t="s">
        <v>145</v>
      </c>
      <c r="BI2" s="7" t="str">
        <f aca="false">IF(BH2="G G", "Risk", IF(BH2="A A", "Protective", "Het"))</f>
        <v>Het</v>
      </c>
      <c r="BJ2" s="7" t="s">
        <v>153</v>
      </c>
      <c r="BK2" s="7" t="str">
        <f aca="false">IF(BJ2="G G", "Risk", IF(BJ2="T T", "Protective", "Het"))</f>
        <v>Het</v>
      </c>
      <c r="BL2" s="7" t="s">
        <v>148</v>
      </c>
      <c r="BM2" s="7" t="str">
        <f aca="false">IF(BL2="C C", "Risk", IF(BL2="T T", "Protective", "Het"))</f>
        <v>Risk</v>
      </c>
      <c r="BN2" s="7" t="s">
        <v>147</v>
      </c>
      <c r="BO2" s="7" t="str">
        <f aca="false">IF(BN2="T T", "Risk", IF(BN2="C C", "Protective", "Het"))</f>
        <v>Risk</v>
      </c>
      <c r="BP2" s="7" t="s">
        <v>145</v>
      </c>
      <c r="BQ2" s="7" t="str">
        <f aca="false">IF(BP2="A A", "Risk", IF(BP2="G G", "Protective", "Het"))</f>
        <v>Het</v>
      </c>
      <c r="BR2" s="7" t="s">
        <v>148</v>
      </c>
      <c r="BS2" s="7" t="str">
        <f aca="false">IF(BR2="C C", "Risk", IF(BR2="A A", "Protective", "Het"))</f>
        <v>Risk</v>
      </c>
      <c r="BT2" s="7" t="s">
        <v>147</v>
      </c>
      <c r="BU2" s="7" t="str">
        <f aca="false">IF(BT2="T T", "Risk", IF(BT2="C C", "Protective", "Het"))</f>
        <v>Risk</v>
      </c>
      <c r="BV2" s="7" t="s">
        <v>146</v>
      </c>
      <c r="BW2" s="7" t="str">
        <f aca="false">IF(BV2="A A", "Risk", IF(BV2="G G", "Protective", "Het"))</f>
        <v>Protective</v>
      </c>
      <c r="BX2" s="7" t="s">
        <v>154</v>
      </c>
      <c r="BY2" s="7" t="str">
        <f aca="false">IF(BX2="A A", "Risk", IF(BX2="G G", "Protective", "Het"))</f>
        <v>Het</v>
      </c>
      <c r="BZ2" s="7" t="s">
        <v>148</v>
      </c>
      <c r="CA2" s="7" t="str">
        <f aca="false">IF(BZ2="C C", "Risk", IF(BZ2="T T", "Protective", "Het"))</f>
        <v>Risk</v>
      </c>
      <c r="CB2" s="7" t="s">
        <v>153</v>
      </c>
      <c r="CC2" s="7" t="str">
        <f aca="false">IF(CB2="G G", "Risk", IF(CB2="T T", "Protective", "Het"))</f>
        <v>Het</v>
      </c>
      <c r="CD2" s="7" t="s">
        <v>147</v>
      </c>
      <c r="CE2" s="7" t="str">
        <f aca="false">IF(CD2="T T", "Risk", IF(CD2="A A", "Protective", "Het"))</f>
        <v>Risk</v>
      </c>
      <c r="CF2" s="7" t="s">
        <v>147</v>
      </c>
      <c r="CG2" s="7" t="str">
        <f aca="false">IF(CF2="C C", "Risk", IF(CF2="T T", "Protective", "Het"))</f>
        <v>Protective</v>
      </c>
      <c r="CH2" s="7" t="s">
        <v>148</v>
      </c>
      <c r="CI2" s="7" t="s">
        <v>147</v>
      </c>
      <c r="CJ2" s="7" t="str">
        <f aca="false">IF(CI2="T T", "Risk", IF(CI2="C C", "Protective", "Het"))</f>
        <v>Risk</v>
      </c>
      <c r="CK2" s="7" t="s">
        <v>148</v>
      </c>
      <c r="CL2" s="7" t="str">
        <f aca="false">IF(CK2="T T", "Risk", IF(CK2="C C", "Protective", "Het"))</f>
        <v>Protective</v>
      </c>
      <c r="CM2" s="7" t="s">
        <v>148</v>
      </c>
      <c r="CN2" s="7" t="str">
        <f aca="false">IF(CM2="T T", "Risk", IF(CM2="C C", "Protective", "Het"))</f>
        <v>Protective</v>
      </c>
      <c r="CO2" s="7" t="s">
        <v>146</v>
      </c>
      <c r="CP2" s="7" t="str">
        <f aca="false">IF(CO2="A A", "Risk", IF(CO2="G G", "Protective", "Het"))</f>
        <v>Protective</v>
      </c>
      <c r="CQ2" s="7" t="s">
        <v>147</v>
      </c>
      <c r="CR2" s="7" t="str">
        <f aca="false">IF(CQ2="T T", "Risk", IF(CQ2="A A", "Protective", "Het"))</f>
        <v>Risk</v>
      </c>
      <c r="CS2" s="7" t="s">
        <v>147</v>
      </c>
      <c r="CT2" s="7" t="str">
        <f aca="false">IF(CS2="T T", "Risk", IF(CS2="C C", "Protective", "Het"))</f>
        <v>Risk</v>
      </c>
      <c r="CU2" s="7" t="s">
        <v>147</v>
      </c>
      <c r="CV2" s="7" t="str">
        <f aca="false">IF(CU2="C C", "Risk", IF(CU2="T T", "Protective", "Het"))</f>
        <v>Protective</v>
      </c>
      <c r="CW2" s="7" t="s">
        <v>148</v>
      </c>
      <c r="CX2" s="7" t="str">
        <f aca="false">IF(CW2="G G", "Risk", IF(CW2="C C", "Protective", "Het"))</f>
        <v>Protective</v>
      </c>
      <c r="CY2" s="7" t="s">
        <v>149</v>
      </c>
      <c r="CZ2" s="7" t="str">
        <f aca="false">IF(CY2="A A", "Risk", IF(CY2="G G", "Protective", "Het"))</f>
        <v>Risk</v>
      </c>
      <c r="DA2" s="7" t="s">
        <v>154</v>
      </c>
      <c r="DB2" s="7" t="str">
        <f aca="false">IF(DA2="A A", "Risk", IF(DA2="G G", "Protective", "Het"))</f>
        <v>Het</v>
      </c>
      <c r="DC2" s="7" t="s">
        <v>148</v>
      </c>
      <c r="DD2" s="7" t="str">
        <f aca="false">IF(DC2="C C", "Risk", IF(DC2="A A", "Protective", "Het"))</f>
        <v>Risk</v>
      </c>
      <c r="DE2" s="7" t="s">
        <v>147</v>
      </c>
      <c r="DF2" s="7" t="str">
        <f aca="false">IF(DE2="T T", "Risk", IF(DE2="C C", "Protective", "Het"))</f>
        <v>Risk</v>
      </c>
      <c r="DG2" s="7" t="s">
        <v>146</v>
      </c>
      <c r="DH2" s="7" t="str">
        <f aca="false">IF(DG2="T T", "Risk", IF(DG2="G G", "Protective", "Het"))</f>
        <v>Protective</v>
      </c>
      <c r="DI2" s="7" t="s">
        <v>151</v>
      </c>
      <c r="DJ2" s="7" t="str">
        <f aca="false">IF(DI2="C C", "Risk", IF(DI2="T T", "Protective", "Het"))</f>
        <v>Het</v>
      </c>
      <c r="DK2" s="7" t="s">
        <v>146</v>
      </c>
      <c r="DL2" s="7" t="str">
        <f aca="false">IF(DK2="A A", "Risk", IF(DK2="G G", "Protective", "Het"))</f>
        <v>Protective</v>
      </c>
      <c r="DM2" s="7" t="s">
        <v>146</v>
      </c>
      <c r="DN2" s="7" t="str">
        <f aca="false">IF(DM2="C C", "Risk", IF(DM2="G G", "Protective", "Het"))</f>
        <v>Protective</v>
      </c>
      <c r="DO2" s="7" t="s">
        <v>146</v>
      </c>
      <c r="DP2" s="7" t="s">
        <v>148</v>
      </c>
      <c r="DQ2" s="7" t="s">
        <v>147</v>
      </c>
      <c r="DR2" s="7" t="s">
        <v>155</v>
      </c>
      <c r="DS2" s="7" t="s">
        <v>148</v>
      </c>
      <c r="DT2" s="7" t="s">
        <v>148</v>
      </c>
      <c r="DU2" s="7" t="s">
        <v>146</v>
      </c>
      <c r="DV2" s="7" t="s">
        <v>146</v>
      </c>
      <c r="DW2" s="7" t="s">
        <v>148</v>
      </c>
      <c r="DX2" s="7" t="s">
        <v>148</v>
      </c>
      <c r="DY2" s="7" t="s">
        <v>147</v>
      </c>
      <c r="DZ2" s="7" t="s">
        <v>156</v>
      </c>
      <c r="EA2" s="7" t="s">
        <v>146</v>
      </c>
      <c r="EB2" s="7" t="s">
        <v>148</v>
      </c>
      <c r="EC2" s="7" t="s">
        <v>146</v>
      </c>
      <c r="ED2" s="7" t="s">
        <v>146</v>
      </c>
      <c r="EE2" s="7" t="s">
        <v>146</v>
      </c>
      <c r="EF2" s="0"/>
    </row>
    <row r="3" s="7" customFormat="true" ht="15" hidden="false" customHeight="false" outlineLevel="0" collapsed="false">
      <c r="A3" s="7" t="s">
        <v>135</v>
      </c>
      <c r="E3" s="2" t="s">
        <v>136</v>
      </c>
      <c r="F3" s="2" t="s">
        <v>136</v>
      </c>
      <c r="G3" s="7" t="s">
        <v>157</v>
      </c>
      <c r="H3" s="2" t="s">
        <v>138</v>
      </c>
      <c r="I3" s="7" t="n">
        <v>33</v>
      </c>
      <c r="J3" s="2"/>
      <c r="K3" s="2" t="s">
        <v>139</v>
      </c>
      <c r="L3" s="9" t="n">
        <v>2.51</v>
      </c>
      <c r="M3" s="10" t="s">
        <v>158</v>
      </c>
      <c r="N3" s="10" t="s">
        <v>159</v>
      </c>
      <c r="O3" s="10" t="n">
        <v>2.63</v>
      </c>
      <c r="P3" s="10" t="n">
        <v>5.4</v>
      </c>
      <c r="Q3" s="10" t="n">
        <v>20</v>
      </c>
      <c r="R3" s="7" t="s">
        <v>143</v>
      </c>
      <c r="S3" s="7" t="s">
        <v>144</v>
      </c>
      <c r="T3" s="7" t="s">
        <v>145</v>
      </c>
      <c r="U3" s="7" t="str">
        <f aca="false">IF(T3="G G", "Risk", IF(T3="A A", "Protective", "Het"))</f>
        <v>Het</v>
      </c>
      <c r="V3" s="7" t="s">
        <v>145</v>
      </c>
      <c r="W3" s="7" t="str">
        <f aca="false">IF(V3="G G", "Risk", IF(V3="A A", "Protective", "Het"))</f>
        <v>Het</v>
      </c>
      <c r="X3" s="7" t="s">
        <v>148</v>
      </c>
      <c r="Y3" s="7" t="str">
        <f aca="false">IF(X3="T T", "Risk", IF(X3="C C", "Protective", "Het"))</f>
        <v>Protective</v>
      </c>
      <c r="Z3" s="7" t="s">
        <v>146</v>
      </c>
      <c r="AA3" s="7" t="str">
        <f aca="false">IF(Z3="G G", "Risk", IF(Z3="A A", "Protective", "Het"))</f>
        <v>Risk</v>
      </c>
      <c r="AB3" s="7" t="s">
        <v>148</v>
      </c>
      <c r="AC3" s="7" t="str">
        <f aca="false">IF(AB3="T T", "Risk", IF(AB3="C C", "Protective", "Het"))</f>
        <v>Protective</v>
      </c>
      <c r="AD3" s="7" t="s">
        <v>146</v>
      </c>
      <c r="AE3" s="7" t="str">
        <f aca="false">IF(AD3="A A", "Risk", IF(AD3="G G", "Protective", "Het"))</f>
        <v>Protective</v>
      </c>
      <c r="AF3" s="7" t="s">
        <v>146</v>
      </c>
      <c r="AG3" s="7" t="str">
        <f aca="false">IF(AF3="G G", "Risk", IF(AF3="T T", "Protective", "Het"))</f>
        <v>Risk</v>
      </c>
      <c r="AH3" s="7" t="s">
        <v>150</v>
      </c>
      <c r="AI3" s="7" t="str">
        <f aca="false">IF(AH3="TG TG", "Risk", IF(AH3="T T", "Protective", "Het"))</f>
        <v>Risk</v>
      </c>
      <c r="AJ3" s="7" t="s">
        <v>151</v>
      </c>
      <c r="AK3" s="7" t="str">
        <f aca="false">IF(AJ3="T T", "Risk", IF(AJ3="C C", "Protective", "Het"))</f>
        <v>Het</v>
      </c>
      <c r="AL3" s="7" t="s">
        <v>146</v>
      </c>
      <c r="AM3" s="7" t="str">
        <f aca="false">IF(AL3="G G", "Risk", IF(AL3="A A", "Protective", "Het"))</f>
        <v>Risk</v>
      </c>
      <c r="AN3" s="7" t="s">
        <v>147</v>
      </c>
      <c r="AO3" s="7" t="str">
        <f aca="false">IF(AN3="T T", "Risk", IF(AN3="C C", "Protective", "Het"))</f>
        <v>Risk</v>
      </c>
      <c r="AP3" s="7" t="s">
        <v>152</v>
      </c>
      <c r="AQ3" s="7" t="str">
        <f aca="false">IF(AP3="C C", "Risk", IF(AP3="T T", "Protective", "Het"))</f>
        <v>Het</v>
      </c>
      <c r="AR3" s="7" t="s">
        <v>146</v>
      </c>
      <c r="AS3" s="7" t="str">
        <f aca="false">IF(AR3="A A", "Risk", IF(AR3="G G", "Protective", "Het"))</f>
        <v>Protective</v>
      </c>
      <c r="AT3" s="7" t="s">
        <v>149</v>
      </c>
      <c r="AU3" s="7" t="str">
        <f aca="false">IF(AT3="G G", "Risk", IF(AT3="A A", "Protective", "Het"))</f>
        <v>Protective</v>
      </c>
      <c r="AV3" s="7" t="s">
        <v>146</v>
      </c>
      <c r="AW3" s="7" t="str">
        <f aca="false">IF(AV3="G G", "Risk", IF(AV3="A A", "Protective", "Het"))</f>
        <v>Risk</v>
      </c>
      <c r="AX3" s="7" t="s">
        <v>152</v>
      </c>
      <c r="AY3" s="7" t="str">
        <f aca="false">IF(AX3="C C", "Risk", IF(AX3="T T", "Protective", "Het"))</f>
        <v>Het</v>
      </c>
      <c r="AZ3" s="7" t="s">
        <v>148</v>
      </c>
      <c r="BA3" s="7" t="str">
        <f aca="false">IF(AZ3="C C", "Risk", IF(AZ3="T T", "Protective", "Het"))</f>
        <v>Risk</v>
      </c>
      <c r="BB3" s="7" t="s">
        <v>146</v>
      </c>
      <c r="BC3" s="7" t="str">
        <f aca="false">IF(BB3="A A", "Risk", IF(BB3="G G", "Protective", "Het"))</f>
        <v>Protective</v>
      </c>
      <c r="BD3" s="7" t="s">
        <v>146</v>
      </c>
      <c r="BE3" s="7" t="str">
        <f aca="false">IF(BD3="A A", "Risk", IF(BD3="G G", "Protective", "Het"))</f>
        <v>Protective</v>
      </c>
      <c r="BF3" s="7" t="s">
        <v>146</v>
      </c>
      <c r="BG3" s="7" t="str">
        <f aca="false">IF(BF3="G G", "Risk", IF(BF3="A A", "Protective", "Het"))</f>
        <v>Risk</v>
      </c>
      <c r="BH3" s="7" t="s">
        <v>145</v>
      </c>
      <c r="BI3" s="7" t="str">
        <f aca="false">IF(BH3="G G", "Risk", IF(BH3="A A", "Protective", "Het"))</f>
        <v>Het</v>
      </c>
      <c r="BJ3" s="7" t="s">
        <v>153</v>
      </c>
      <c r="BK3" s="7" t="str">
        <f aca="false">IF(BJ3="G G", "Risk", IF(BJ3="T T", "Protective", "Het"))</f>
        <v>Het</v>
      </c>
      <c r="BL3" s="7" t="s">
        <v>148</v>
      </c>
      <c r="BM3" s="7" t="str">
        <f aca="false">IF(BL3="C C", "Risk", IF(BL3="T T", "Protective", "Het"))</f>
        <v>Risk</v>
      </c>
      <c r="BN3" s="7" t="s">
        <v>147</v>
      </c>
      <c r="BO3" s="7" t="str">
        <f aca="false">IF(BN3="T T", "Risk", IF(BN3="C C", "Protective", "Het"))</f>
        <v>Risk</v>
      </c>
      <c r="BP3" s="7" t="s">
        <v>145</v>
      </c>
      <c r="BQ3" s="7" t="str">
        <f aca="false">IF(BP3="A A", "Risk", IF(BP3="G G", "Protective", "Het"))</f>
        <v>Het</v>
      </c>
      <c r="BR3" s="7" t="s">
        <v>148</v>
      </c>
      <c r="BS3" s="7" t="str">
        <f aca="false">IF(BR3="C C", "Risk", IF(BR3="A A", "Protective", "Het"))</f>
        <v>Risk</v>
      </c>
      <c r="BT3" s="7" t="s">
        <v>151</v>
      </c>
      <c r="BU3" s="7" t="str">
        <f aca="false">IF(BT3="T T", "Risk", IF(BT3="C C", "Protective", "Het"))</f>
        <v>Het</v>
      </c>
      <c r="BV3" s="7" t="s">
        <v>145</v>
      </c>
      <c r="BW3" s="7" t="str">
        <f aca="false">IF(BV3="A A", "Risk", IF(BV3="G G", "Protective", "Het"))</f>
        <v>Het</v>
      </c>
      <c r="BX3" s="7" t="s">
        <v>149</v>
      </c>
      <c r="BY3" s="7" t="str">
        <f aca="false">IF(BX3="A A", "Risk", IF(BX3="G G", "Protective", "Het"))</f>
        <v>Risk</v>
      </c>
      <c r="BZ3" s="7" t="s">
        <v>148</v>
      </c>
      <c r="CA3" s="7" t="str">
        <f aca="false">IF(BZ3="C C", "Risk", IF(BZ3="T T", "Protective", "Het"))</f>
        <v>Risk</v>
      </c>
      <c r="CB3" s="7" t="s">
        <v>146</v>
      </c>
      <c r="CC3" s="7" t="str">
        <f aca="false">IF(CB3="G G", "Risk", IF(CB3="T T", "Protective", "Het"))</f>
        <v>Risk</v>
      </c>
      <c r="CD3" s="7" t="s">
        <v>149</v>
      </c>
      <c r="CE3" s="7" t="str">
        <f aca="false">IF(CD3="T T", "Risk", IF(CD3="A A", "Protective", "Het"))</f>
        <v>Protective</v>
      </c>
      <c r="CF3" s="7" t="s">
        <v>147</v>
      </c>
      <c r="CG3" s="7" t="str">
        <f aca="false">IF(CF3="C C", "Risk", IF(CF3="T T", "Protective", "Het"))</f>
        <v>Protective</v>
      </c>
      <c r="CH3" s="7" t="s">
        <v>160</v>
      </c>
      <c r="CI3" s="7" t="s">
        <v>147</v>
      </c>
      <c r="CJ3" s="7" t="str">
        <f aca="false">IF(CI3="T T", "Risk", IF(CI3="C C", "Protective", "Het"))</f>
        <v>Risk</v>
      </c>
      <c r="CK3" s="7" t="s">
        <v>148</v>
      </c>
      <c r="CL3" s="7" t="str">
        <f aca="false">IF(CK3="T T", "Risk", IF(CK3="C C", "Protective", "Het"))</f>
        <v>Protective</v>
      </c>
      <c r="CM3" s="7" t="s">
        <v>148</v>
      </c>
      <c r="CN3" s="7" t="str">
        <f aca="false">IF(CM3="T T", "Risk", IF(CM3="C C", "Protective", "Het"))</f>
        <v>Protective</v>
      </c>
      <c r="CO3" s="7" t="s">
        <v>146</v>
      </c>
      <c r="CP3" s="7" t="str">
        <f aca="false">IF(CO3="A A", "Risk", IF(CO3="G G", "Protective", "Het"))</f>
        <v>Protective</v>
      </c>
      <c r="CQ3" s="7" t="s">
        <v>147</v>
      </c>
      <c r="CR3" s="7" t="str">
        <f aca="false">IF(CQ3="T T", "Risk", IF(CQ3="A A", "Protective", "Het"))</f>
        <v>Risk</v>
      </c>
      <c r="CS3" s="7" t="s">
        <v>147</v>
      </c>
      <c r="CT3" s="7" t="str">
        <f aca="false">IF(CS3="T T", "Risk", IF(CS3="C C", "Protective", "Het"))</f>
        <v>Risk</v>
      </c>
      <c r="CU3" s="7" t="s">
        <v>147</v>
      </c>
      <c r="CV3" s="7" t="str">
        <f aca="false">IF(CU3="C C", "Risk", IF(CU3="T T", "Protective", "Het"))</f>
        <v>Protective</v>
      </c>
      <c r="CW3" s="7" t="s">
        <v>148</v>
      </c>
      <c r="CX3" s="7" t="str">
        <f aca="false">IF(CW3="G G", "Risk", IF(CW3="C C", "Protective", "Het"))</f>
        <v>Protective</v>
      </c>
      <c r="CY3" s="7" t="s">
        <v>154</v>
      </c>
      <c r="CZ3" s="7" t="str">
        <f aca="false">IF(CY3="A A", "Risk", IF(CY3="G G", "Protective", "Het"))</f>
        <v>Het</v>
      </c>
      <c r="DA3" s="7" t="s">
        <v>154</v>
      </c>
      <c r="DB3" s="7" t="str">
        <f aca="false">IF(DA3="A A", "Risk", IF(DA3="G G", "Protective", "Het"))</f>
        <v>Het</v>
      </c>
      <c r="DC3" s="7" t="s">
        <v>148</v>
      </c>
      <c r="DD3" s="7" t="str">
        <f aca="false">IF(DC3="C C", "Risk", IF(DC3="A A", "Protective", "Het"))</f>
        <v>Risk</v>
      </c>
      <c r="DE3" s="7" t="s">
        <v>147</v>
      </c>
      <c r="DF3" s="7" t="str">
        <f aca="false">IF(DE3="T T", "Risk", IF(DE3="C C", "Protective", "Het"))</f>
        <v>Risk</v>
      </c>
      <c r="DG3" s="7" t="s">
        <v>146</v>
      </c>
      <c r="DH3" s="7" t="str">
        <f aca="false">IF(DG3="T T", "Risk", IF(DG3="G G", "Protective", "Het"))</f>
        <v>Protective</v>
      </c>
      <c r="DI3" s="7" t="s">
        <v>151</v>
      </c>
      <c r="DJ3" s="7" t="str">
        <f aca="false">IF(DI3="C C", "Risk", IF(DI3="T T", "Protective", "Het"))</f>
        <v>Het</v>
      </c>
      <c r="DK3" s="7" t="s">
        <v>146</v>
      </c>
      <c r="DL3" s="7" t="str">
        <f aca="false">IF(DK3="A A", "Risk", IF(DK3="G G", "Protective", "Het"))</f>
        <v>Protective</v>
      </c>
      <c r="DM3" s="7" t="s">
        <v>155</v>
      </c>
      <c r="DN3" s="7" t="str">
        <f aca="false">IF(DM3="C C", "Risk", IF(DM3="G G", "Protective", "Het"))</f>
        <v>Het</v>
      </c>
      <c r="DO3" s="7" t="s">
        <v>146</v>
      </c>
      <c r="DP3" s="7" t="s">
        <v>148</v>
      </c>
      <c r="DQ3" s="7" t="s">
        <v>147</v>
      </c>
      <c r="DR3" s="7" t="s">
        <v>146</v>
      </c>
      <c r="DS3" s="7" t="s">
        <v>148</v>
      </c>
      <c r="DT3" s="7" t="s">
        <v>148</v>
      </c>
      <c r="DU3" s="7" t="s">
        <v>145</v>
      </c>
      <c r="DV3" s="7" t="s">
        <v>146</v>
      </c>
      <c r="DW3" s="7" t="s">
        <v>148</v>
      </c>
      <c r="DX3" s="7" t="s">
        <v>148</v>
      </c>
      <c r="DY3" s="7" t="s">
        <v>147</v>
      </c>
      <c r="DZ3" s="7" t="s">
        <v>149</v>
      </c>
      <c r="EA3" s="7" t="s">
        <v>146</v>
      </c>
      <c r="EB3" s="7" t="s">
        <v>148</v>
      </c>
      <c r="EC3" s="7" t="s">
        <v>146</v>
      </c>
      <c r="ED3" s="7" t="s">
        <v>146</v>
      </c>
      <c r="EE3" s="7" t="s">
        <v>146</v>
      </c>
      <c r="EF3" s="0"/>
    </row>
    <row r="4" s="7" customFormat="true" ht="15" hidden="false" customHeight="false" outlineLevel="0" collapsed="false">
      <c r="A4" s="7" t="s">
        <v>135</v>
      </c>
      <c r="E4" s="2" t="s">
        <v>136</v>
      </c>
      <c r="F4" s="2" t="s">
        <v>136</v>
      </c>
      <c r="G4" s="7" t="s">
        <v>161</v>
      </c>
      <c r="H4" s="2" t="s">
        <v>138</v>
      </c>
      <c r="I4" s="7" t="n">
        <v>33</v>
      </c>
      <c r="J4" s="2"/>
      <c r="K4" s="2" t="s">
        <v>139</v>
      </c>
      <c r="L4" s="11" t="n">
        <v>0.26</v>
      </c>
      <c r="M4" s="12" t="s">
        <v>158</v>
      </c>
      <c r="N4" s="12" t="s">
        <v>159</v>
      </c>
      <c r="O4" s="12" t="n">
        <v>6.06</v>
      </c>
      <c r="P4" s="12" t="n">
        <v>5.4</v>
      </c>
      <c r="Q4" s="12" t="n">
        <v>16.9</v>
      </c>
      <c r="R4" s="7" t="s">
        <v>143</v>
      </c>
      <c r="S4" s="7" t="s">
        <v>144</v>
      </c>
      <c r="T4" s="7" t="s">
        <v>146</v>
      </c>
      <c r="U4" s="7" t="str">
        <f aca="false">IF(T4="G G", "Risk", IF(T4="A A", "Protective", "Het"))</f>
        <v>Risk</v>
      </c>
      <c r="V4" s="7" t="s">
        <v>146</v>
      </c>
      <c r="W4" s="7" t="str">
        <f aca="false">IF(V4="G G", "Risk", IF(V4="A A", "Protective", "Het"))</f>
        <v>Risk</v>
      </c>
      <c r="X4" s="7" t="s">
        <v>148</v>
      </c>
      <c r="Y4" s="7" t="str">
        <f aca="false">IF(X4="T T", "Risk", IF(X4="C C", "Protective", "Het"))</f>
        <v>Protective</v>
      </c>
      <c r="Z4" s="7" t="s">
        <v>146</v>
      </c>
      <c r="AA4" s="7" t="str">
        <f aca="false">IF(Z4="G G", "Risk", IF(Z4="A A", "Protective", "Het"))</f>
        <v>Risk</v>
      </c>
      <c r="AB4" s="7" t="s">
        <v>148</v>
      </c>
      <c r="AC4" s="7" t="str">
        <f aca="false">IF(AB4="T T", "Risk", IF(AB4="C C", "Protective", "Het"))</f>
        <v>Protective</v>
      </c>
      <c r="AD4" s="7" t="s">
        <v>154</v>
      </c>
      <c r="AE4" s="7" t="str">
        <f aca="false">IF(AD4="A A", "Risk", IF(AD4="G G", "Protective", "Het"))</f>
        <v>Het</v>
      </c>
      <c r="AF4" s="7" t="s">
        <v>146</v>
      </c>
      <c r="AG4" s="7" t="str">
        <f aca="false">IF(AF4="G G", "Risk", IF(AF4="T T", "Protective", "Het"))</f>
        <v>Risk</v>
      </c>
      <c r="AH4" s="7" t="s">
        <v>150</v>
      </c>
      <c r="AI4" s="7" t="str">
        <f aca="false">IF(AH4="TG TG", "Risk", IF(AH4="T T", "Protective", "Het"))</f>
        <v>Risk</v>
      </c>
      <c r="AJ4" s="7" t="s">
        <v>151</v>
      </c>
      <c r="AK4" s="7" t="str">
        <f aca="false">IF(AJ4="T T", "Risk", IF(AJ4="C C", "Protective", "Het"))</f>
        <v>Het</v>
      </c>
      <c r="AL4" s="7" t="s">
        <v>146</v>
      </c>
      <c r="AM4" s="7" t="str">
        <f aca="false">IF(AL4="G G", "Risk", IF(AL4="A A", "Protective", "Het"))</f>
        <v>Risk</v>
      </c>
      <c r="AN4" s="7" t="s">
        <v>147</v>
      </c>
      <c r="AO4" s="7" t="str">
        <f aca="false">IF(AN4="T T", "Risk", IF(AN4="C C", "Protective", "Het"))</f>
        <v>Risk</v>
      </c>
      <c r="AP4" s="7" t="s">
        <v>152</v>
      </c>
      <c r="AQ4" s="7" t="str">
        <f aca="false">IF(AP4="C C", "Risk", IF(AP4="T T", "Protective", "Het"))</f>
        <v>Het</v>
      </c>
      <c r="AR4" s="7" t="s">
        <v>145</v>
      </c>
      <c r="AS4" s="7" t="str">
        <f aca="false">IF(AR4="A A", "Risk", IF(AR4="G G", "Protective", "Het"))</f>
        <v>Het</v>
      </c>
      <c r="AT4" s="7" t="s">
        <v>149</v>
      </c>
      <c r="AU4" s="7" t="str">
        <f aca="false">IF(AT4="G G", "Risk", IF(AT4="A A", "Protective", "Het"))</f>
        <v>Protective</v>
      </c>
      <c r="AV4" s="7" t="s">
        <v>149</v>
      </c>
      <c r="AW4" s="7" t="str">
        <f aca="false">IF(AV4="G G", "Risk", IF(AV4="A A", "Protective", "Het"))</f>
        <v>Protective</v>
      </c>
      <c r="AX4" s="7" t="s">
        <v>148</v>
      </c>
      <c r="AY4" s="7" t="str">
        <f aca="false">IF(AX4="C C", "Risk", IF(AX4="T T", "Protective", "Het"))</f>
        <v>Risk</v>
      </c>
      <c r="AZ4" s="7" t="s">
        <v>148</v>
      </c>
      <c r="BA4" s="7" t="str">
        <f aca="false">IF(AZ4="C C", "Risk", IF(AZ4="T T", "Protective", "Het"))</f>
        <v>Risk</v>
      </c>
      <c r="BB4" s="7" t="s">
        <v>146</v>
      </c>
      <c r="BC4" s="7" t="str">
        <f aca="false">IF(BB4="A A", "Risk", IF(BB4="G G", "Protective", "Het"))</f>
        <v>Protective</v>
      </c>
      <c r="BD4" s="7" t="s">
        <v>146</v>
      </c>
      <c r="BE4" s="7" t="str">
        <f aca="false">IF(BD4="A A", "Risk", IF(BD4="G G", "Protective", "Het"))</f>
        <v>Protective</v>
      </c>
      <c r="BF4" s="7" t="s">
        <v>145</v>
      </c>
      <c r="BG4" s="7" t="str">
        <f aca="false">IF(BF4="G G", "Risk", IF(BF4="A A", "Protective", "Het"))</f>
        <v>Het</v>
      </c>
      <c r="BH4" s="7" t="s">
        <v>145</v>
      </c>
      <c r="BI4" s="7" t="str">
        <f aca="false">IF(BH4="G G", "Risk", IF(BH4="A A", "Protective", "Het"))</f>
        <v>Het</v>
      </c>
      <c r="BJ4" s="7" t="s">
        <v>146</v>
      </c>
      <c r="BK4" s="7" t="str">
        <f aca="false">IF(BJ4="G G", "Risk", IF(BJ4="T T", "Protective", "Het"))</f>
        <v>Risk</v>
      </c>
      <c r="BL4" s="7" t="s">
        <v>148</v>
      </c>
      <c r="BM4" s="7" t="str">
        <f aca="false">IF(BL4="C C", "Risk", IF(BL4="T T", "Protective", "Het"))</f>
        <v>Risk</v>
      </c>
      <c r="BN4" s="7" t="s">
        <v>151</v>
      </c>
      <c r="BO4" s="7" t="str">
        <f aca="false">IF(BN4="T T", "Risk", IF(BN4="C C", "Protective", "Het"))</f>
        <v>Het</v>
      </c>
      <c r="BP4" s="7" t="s">
        <v>146</v>
      </c>
      <c r="BQ4" s="7" t="str">
        <f aca="false">IF(BP4="A A", "Risk", IF(BP4="G G", "Protective", "Het"))</f>
        <v>Protective</v>
      </c>
      <c r="BR4" s="7" t="s">
        <v>148</v>
      </c>
      <c r="BS4" s="7" t="str">
        <f aca="false">IF(BR4="C C", "Risk", IF(BR4="A A", "Protective", "Het"))</f>
        <v>Risk</v>
      </c>
      <c r="BT4" s="7" t="s">
        <v>147</v>
      </c>
      <c r="BU4" s="7" t="str">
        <f aca="false">IF(BT4="T T", "Risk", IF(BT4="C C", "Protective", "Het"))</f>
        <v>Risk</v>
      </c>
      <c r="BV4" s="7" t="s">
        <v>145</v>
      </c>
      <c r="BW4" s="7" t="str">
        <f aca="false">IF(BV4="A A", "Risk", IF(BV4="G G", "Protective", "Het"))</f>
        <v>Het</v>
      </c>
      <c r="BX4" s="7" t="s">
        <v>154</v>
      </c>
      <c r="BY4" s="7" t="str">
        <f aca="false">IF(BX4="A A", "Risk", IF(BX4="G G", "Protective", "Het"))</f>
        <v>Het</v>
      </c>
      <c r="BZ4" s="7" t="s">
        <v>148</v>
      </c>
      <c r="CA4" s="7" t="str">
        <f aca="false">IF(BZ4="C C", "Risk", IF(BZ4="T T", "Protective", "Het"))</f>
        <v>Risk</v>
      </c>
      <c r="CB4" s="7" t="s">
        <v>153</v>
      </c>
      <c r="CC4" s="7" t="str">
        <f aca="false">IF(CB4="G G", "Risk", IF(CB4="T T", "Protective", "Het"))</f>
        <v>Het</v>
      </c>
      <c r="CD4" s="7" t="s">
        <v>156</v>
      </c>
      <c r="CE4" s="7" t="str">
        <f aca="false">IF(CD4="T T", "Risk", IF(CD4="A A", "Protective", "Het"))</f>
        <v>Het</v>
      </c>
      <c r="CF4" s="7" t="s">
        <v>147</v>
      </c>
      <c r="CG4" s="7" t="str">
        <f aca="false">IF(CF4="C C", "Risk", IF(CF4="T T", "Protective", "Het"))</f>
        <v>Protective</v>
      </c>
      <c r="CH4" s="7" t="s">
        <v>148</v>
      </c>
      <c r="CI4" s="7" t="s">
        <v>151</v>
      </c>
      <c r="CJ4" s="7" t="str">
        <f aca="false">IF(CI4="T T", "Risk", IF(CI4="C C", "Protective", "Het"))</f>
        <v>Het</v>
      </c>
      <c r="CK4" s="7" t="s">
        <v>148</v>
      </c>
      <c r="CL4" s="7" t="str">
        <f aca="false">IF(CK4="T T", "Risk", IF(CK4="C C", "Protective", "Het"))</f>
        <v>Protective</v>
      </c>
      <c r="CM4" s="7" t="s">
        <v>148</v>
      </c>
      <c r="CN4" s="7" t="str">
        <f aca="false">IF(CM4="T T", "Risk", IF(CM4="C C", "Protective", "Het"))</f>
        <v>Protective</v>
      </c>
      <c r="CO4" s="7" t="s">
        <v>145</v>
      </c>
      <c r="CP4" s="7" t="str">
        <f aca="false">IF(CO4="A A", "Risk", IF(CO4="G G", "Protective", "Het"))</f>
        <v>Het</v>
      </c>
      <c r="CQ4" s="7" t="s">
        <v>147</v>
      </c>
      <c r="CR4" s="7" t="str">
        <f aca="false">IF(CQ4="T T", "Risk", IF(CQ4="A A", "Protective", "Het"))</f>
        <v>Risk</v>
      </c>
      <c r="CS4" s="7" t="s">
        <v>147</v>
      </c>
      <c r="CT4" s="7" t="str">
        <f aca="false">IF(CS4="T T", "Risk", IF(CS4="C C", "Protective", "Het"))</f>
        <v>Risk</v>
      </c>
      <c r="CU4" s="7" t="s">
        <v>147</v>
      </c>
      <c r="CV4" s="7" t="str">
        <f aca="false">IF(CU4="C C", "Risk", IF(CU4="T T", "Protective", "Het"))</f>
        <v>Protective</v>
      </c>
      <c r="CW4" s="7" t="s">
        <v>162</v>
      </c>
      <c r="CX4" s="7" t="str">
        <f aca="false">IF(CW4="G G", "Risk", IF(CW4="C C", "Protective", "Het"))</f>
        <v>Het</v>
      </c>
      <c r="CY4" s="7" t="s">
        <v>149</v>
      </c>
      <c r="CZ4" s="7" t="str">
        <f aca="false">IF(CY4="A A", "Risk", IF(CY4="G G", "Protective", "Het"))</f>
        <v>Risk</v>
      </c>
      <c r="DA4" s="7" t="s">
        <v>154</v>
      </c>
      <c r="DB4" s="7" t="str">
        <f aca="false">IF(DA4="A A", "Risk", IF(DA4="G G", "Protective", "Het"))</f>
        <v>Het</v>
      </c>
      <c r="DC4" s="7" t="s">
        <v>148</v>
      </c>
      <c r="DD4" s="7" t="str">
        <f aca="false">IF(DC4="C C", "Risk", IF(DC4="A A", "Protective", "Het"))</f>
        <v>Risk</v>
      </c>
      <c r="DE4" s="7" t="s">
        <v>147</v>
      </c>
      <c r="DF4" s="7" t="str">
        <f aca="false">IF(DE4="T T", "Risk", IF(DE4="C C", "Protective", "Het"))</f>
        <v>Risk</v>
      </c>
      <c r="DG4" s="7" t="s">
        <v>146</v>
      </c>
      <c r="DH4" s="7" t="str">
        <f aca="false">IF(DG4="T T", "Risk", IF(DG4="G G", "Protective", "Het"))</f>
        <v>Protective</v>
      </c>
      <c r="DI4" s="7" t="s">
        <v>147</v>
      </c>
      <c r="DJ4" s="7" t="str">
        <f aca="false">IF(DI4="C C", "Risk", IF(DI4="T T", "Protective", "Het"))</f>
        <v>Protective</v>
      </c>
      <c r="DK4" s="7" t="s">
        <v>145</v>
      </c>
      <c r="DL4" s="7" t="str">
        <f aca="false">IF(DK4="A A", "Risk", IF(DK4="G G", "Protective", "Het"))</f>
        <v>Het</v>
      </c>
      <c r="DM4" s="7" t="s">
        <v>146</v>
      </c>
      <c r="DN4" s="7" t="str">
        <f aca="false">IF(DM4="C C", "Risk", IF(DM4="G G", "Protective", "Het"))</f>
        <v>Protective</v>
      </c>
      <c r="DO4" s="7" t="s">
        <v>146</v>
      </c>
      <c r="DP4" s="7" t="s">
        <v>148</v>
      </c>
      <c r="DQ4" s="7" t="s">
        <v>147</v>
      </c>
      <c r="DR4" s="7" t="s">
        <v>146</v>
      </c>
      <c r="DS4" s="7" t="s">
        <v>148</v>
      </c>
      <c r="DT4" s="7" t="s">
        <v>148</v>
      </c>
      <c r="DU4" s="7" t="s">
        <v>145</v>
      </c>
      <c r="DV4" s="7" t="s">
        <v>146</v>
      </c>
      <c r="DW4" s="7" t="s">
        <v>148</v>
      </c>
      <c r="DX4" s="7" t="s">
        <v>148</v>
      </c>
      <c r="DY4" s="7" t="s">
        <v>147</v>
      </c>
      <c r="DZ4" s="7" t="s">
        <v>149</v>
      </c>
      <c r="EA4" s="7" t="s">
        <v>146</v>
      </c>
      <c r="EB4" s="7" t="s">
        <v>148</v>
      </c>
      <c r="EC4" s="7" t="s">
        <v>146</v>
      </c>
      <c r="ED4" s="7" t="s">
        <v>146</v>
      </c>
      <c r="EE4" s="7" t="s">
        <v>146</v>
      </c>
      <c r="EF4" s="0"/>
    </row>
    <row r="5" s="7" customFormat="true" ht="15" hidden="false" customHeight="false" outlineLevel="0" collapsed="false">
      <c r="B5" s="7" t="s">
        <v>135</v>
      </c>
      <c r="D5" s="7" t="s">
        <v>163</v>
      </c>
      <c r="E5" s="2" t="n">
        <v>20008</v>
      </c>
      <c r="F5" s="2" t="s">
        <v>164</v>
      </c>
      <c r="G5" s="7" t="s">
        <v>165</v>
      </c>
      <c r="H5" s="2" t="s">
        <v>166</v>
      </c>
      <c r="I5" s="2" t="n">
        <v>29</v>
      </c>
      <c r="J5" s="2" t="n">
        <v>2</v>
      </c>
      <c r="K5" s="2" t="s">
        <v>139</v>
      </c>
      <c r="L5" s="7" t="n">
        <v>10.92</v>
      </c>
      <c r="M5" s="7" t="s">
        <v>158</v>
      </c>
      <c r="N5" s="7" t="s">
        <v>159</v>
      </c>
      <c r="O5" s="7" t="n">
        <v>3.65</v>
      </c>
      <c r="P5" s="7" t="n">
        <v>5.3</v>
      </c>
      <c r="Q5" s="7" t="n">
        <v>21.1</v>
      </c>
      <c r="R5" s="7" t="s">
        <v>143</v>
      </c>
      <c r="S5" s="7" t="s">
        <v>144</v>
      </c>
      <c r="T5" s="7" t="s">
        <v>145</v>
      </c>
      <c r="U5" s="7" t="str">
        <f aca="false">IF(T5="G G", "Risk", IF(T5="A A", "Protective", "Het"))</f>
        <v>Het</v>
      </c>
      <c r="V5" s="7" t="s">
        <v>146</v>
      </c>
      <c r="W5" s="7" t="str">
        <f aca="false">IF(V5="G G", "Risk", IF(V5="A A", "Protective", "Het"))</f>
        <v>Risk</v>
      </c>
      <c r="X5" s="7" t="s">
        <v>148</v>
      </c>
      <c r="Y5" s="7" t="str">
        <f aca="false">IF(X5="T T", "Risk", IF(X5="C C", "Protective", "Het"))</f>
        <v>Protective</v>
      </c>
      <c r="Z5" s="7" t="s">
        <v>146</v>
      </c>
      <c r="AA5" s="7" t="str">
        <f aca="false">IF(Z5="G G", "Risk", IF(Z5="A A", "Protective", "Het"))</f>
        <v>Risk</v>
      </c>
      <c r="AB5" s="7" t="s">
        <v>148</v>
      </c>
      <c r="AC5" s="7" t="str">
        <f aca="false">IF(AB5="T T", "Risk", IF(AB5="C C", "Protective", "Het"))</f>
        <v>Protective</v>
      </c>
      <c r="AD5" s="7" t="s">
        <v>149</v>
      </c>
      <c r="AE5" s="7" t="str">
        <f aca="false">IF(AD5="A A", "Risk", IF(AD5="G G", "Protective", "Het"))</f>
        <v>Risk</v>
      </c>
      <c r="AF5" s="7" t="s">
        <v>146</v>
      </c>
      <c r="AG5" s="7" t="str">
        <f aca="false">IF(AF5="G G", "Risk", IF(AF5="T T", "Protective", "Het"))</f>
        <v>Risk</v>
      </c>
      <c r="AH5" s="7" t="s">
        <v>150</v>
      </c>
      <c r="AI5" s="7" t="str">
        <f aca="false">IF(AH5="TG TG", "Risk", IF(AH5="T T", "Protective", "Het"))</f>
        <v>Risk</v>
      </c>
      <c r="AJ5" s="7" t="s">
        <v>147</v>
      </c>
      <c r="AK5" s="7" t="str">
        <f aca="false">IF(AJ5="T T", "Risk", IF(AJ5="C C", "Protective", "Het"))</f>
        <v>Risk</v>
      </c>
      <c r="AL5" s="7" t="s">
        <v>146</v>
      </c>
      <c r="AM5" s="7" t="str">
        <f aca="false">IF(AL5="G G", "Risk", IF(AL5="A A", "Protective", "Het"))</f>
        <v>Risk</v>
      </c>
      <c r="AN5" s="7" t="s">
        <v>147</v>
      </c>
      <c r="AO5" s="7" t="str">
        <f aca="false">IF(AN5="T T", "Risk", IF(AN5="C C", "Protective", "Het"))</f>
        <v>Risk</v>
      </c>
      <c r="AP5" s="7" t="s">
        <v>147</v>
      </c>
      <c r="AQ5" s="7" t="str">
        <f aca="false">IF(AP5="C C", "Risk", IF(AP5="T T", "Protective", "Het"))</f>
        <v>Protective</v>
      </c>
      <c r="AR5" s="7" t="s">
        <v>146</v>
      </c>
      <c r="AS5" s="7" t="str">
        <f aca="false">IF(AR5="A A", "Risk", IF(AR5="G G", "Protective", "Het"))</f>
        <v>Protective</v>
      </c>
      <c r="AT5" s="7" t="s">
        <v>149</v>
      </c>
      <c r="AU5" s="7" t="str">
        <f aca="false">IF(AT5="G G", "Risk", IF(AT5="A A", "Protective", "Het"))</f>
        <v>Protective</v>
      </c>
      <c r="AV5" s="7" t="s">
        <v>145</v>
      </c>
      <c r="AW5" s="7" t="str">
        <f aca="false">IF(AV5="G G", "Risk", IF(AV5="A A", "Protective", "Het"))</f>
        <v>Het</v>
      </c>
      <c r="AX5" s="7" t="s">
        <v>152</v>
      </c>
      <c r="AY5" s="7" t="str">
        <f aca="false">IF(AX5="C C", "Risk", IF(AX5="T T", "Protective", "Het"))</f>
        <v>Het</v>
      </c>
      <c r="AZ5" s="7" t="s">
        <v>148</v>
      </c>
      <c r="BA5" s="7" t="str">
        <f aca="false">IF(AZ5="C C", "Risk", IF(AZ5="T T", "Protective", "Het"))</f>
        <v>Risk</v>
      </c>
      <c r="BB5" s="7" t="s">
        <v>149</v>
      </c>
      <c r="BC5" s="7" t="str">
        <f aca="false">IF(BB5="A A", "Risk", IF(BB5="G G", "Protective", "Het"))</f>
        <v>Risk</v>
      </c>
      <c r="BD5" s="7" t="s">
        <v>146</v>
      </c>
      <c r="BE5" s="7" t="str">
        <f aca="false">IF(BD5="A A", "Risk", IF(BD5="G G", "Protective", "Het"))</f>
        <v>Protective</v>
      </c>
      <c r="BF5" s="7" t="s">
        <v>146</v>
      </c>
      <c r="BG5" s="7" t="str">
        <f aca="false">IF(BF5="G G", "Risk", IF(BF5="A A", "Protective", "Het"))</f>
        <v>Risk</v>
      </c>
      <c r="BH5" s="7" t="s">
        <v>145</v>
      </c>
      <c r="BI5" s="7" t="str">
        <f aca="false">IF(BH5="G G", "Risk", IF(BH5="A A", "Protective", "Het"))</f>
        <v>Het</v>
      </c>
      <c r="BJ5" s="7" t="s">
        <v>146</v>
      </c>
      <c r="BK5" s="7" t="str">
        <f aca="false">IF(BJ5="G G", "Risk", IF(BJ5="T T", "Protective", "Het"))</f>
        <v>Risk</v>
      </c>
      <c r="BL5" s="7" t="s">
        <v>148</v>
      </c>
      <c r="BM5" s="7" t="str">
        <f aca="false">IF(BL5="C C", "Risk", IF(BL5="T T", "Protective", "Het"))</f>
        <v>Risk</v>
      </c>
      <c r="BN5" s="7" t="s">
        <v>147</v>
      </c>
      <c r="BO5" s="7" t="str">
        <f aca="false">IF(BN5="T T", "Risk", IF(BN5="C C", "Protective", "Het"))</f>
        <v>Risk</v>
      </c>
      <c r="BP5" s="7" t="s">
        <v>146</v>
      </c>
      <c r="BQ5" s="7" t="str">
        <f aca="false">IF(BP5="A A", "Risk", IF(BP5="G G", "Protective", "Het"))</f>
        <v>Protective</v>
      </c>
      <c r="BR5" s="7" t="s">
        <v>148</v>
      </c>
      <c r="BS5" s="7" t="str">
        <f aca="false">IF(BR5="C C", "Risk", IF(BR5="A A", "Protective", "Het"))</f>
        <v>Risk</v>
      </c>
      <c r="BT5" s="7" t="s">
        <v>147</v>
      </c>
      <c r="BU5" s="7" t="str">
        <f aca="false">IF(BT5="T T", "Risk", IF(BT5="C C", "Protective", "Het"))</f>
        <v>Risk</v>
      </c>
      <c r="BV5" s="7" t="s">
        <v>146</v>
      </c>
      <c r="BW5" s="7" t="str">
        <f aca="false">IF(BV5="A A", "Risk", IF(BV5="G G", "Protective", "Het"))</f>
        <v>Protective</v>
      </c>
      <c r="BX5" s="7" t="s">
        <v>154</v>
      </c>
      <c r="BY5" s="7" t="str">
        <f aca="false">IF(BX5="A A", "Risk", IF(BX5="G G", "Protective", "Het"))</f>
        <v>Het</v>
      </c>
      <c r="BZ5" s="7" t="s">
        <v>148</v>
      </c>
      <c r="CA5" s="7" t="str">
        <f aca="false">IF(BZ5="C C", "Risk", IF(BZ5="T T", "Protective", "Het"))</f>
        <v>Risk</v>
      </c>
      <c r="CB5" s="7" t="s">
        <v>146</v>
      </c>
      <c r="CC5" s="7" t="str">
        <f aca="false">IF(CB5="G G", "Risk", IF(CB5="T T", "Protective", "Het"))</f>
        <v>Risk</v>
      </c>
      <c r="CD5" s="7" t="s">
        <v>147</v>
      </c>
      <c r="CE5" s="7" t="str">
        <f aca="false">IF(CD5="T T", "Risk", IF(CD5="A A", "Protective", "Het"))</f>
        <v>Risk</v>
      </c>
      <c r="CF5" s="7" t="s">
        <v>147</v>
      </c>
      <c r="CG5" s="7" t="str">
        <f aca="false">IF(CF5="C C", "Risk", IF(CF5="T T", "Protective", "Het"))</f>
        <v>Protective</v>
      </c>
      <c r="CH5" s="7" t="s">
        <v>148</v>
      </c>
      <c r="CI5" s="7" t="s">
        <v>151</v>
      </c>
      <c r="CJ5" s="7" t="str">
        <f aca="false">IF(CI5="T T", "Risk", IF(CI5="C C", "Protective", "Het"))</f>
        <v>Het</v>
      </c>
      <c r="CK5" s="7" t="s">
        <v>152</v>
      </c>
      <c r="CL5" s="7" t="str">
        <f aca="false">IF(CK5="T T", "Risk", IF(CK5="C C", "Protective", "Het"))</f>
        <v>Het</v>
      </c>
      <c r="CM5" s="7" t="s">
        <v>148</v>
      </c>
      <c r="CN5" s="7" t="str">
        <f aca="false">IF(CM5="T T", "Risk", IF(CM5="C C", "Protective", "Het"))</f>
        <v>Protective</v>
      </c>
      <c r="CO5" s="7" t="s">
        <v>146</v>
      </c>
      <c r="CP5" s="7" t="str">
        <f aca="false">IF(CO5="A A", "Risk", IF(CO5="G G", "Protective", "Het"))</f>
        <v>Protective</v>
      </c>
      <c r="CQ5" s="7" t="s">
        <v>147</v>
      </c>
      <c r="CR5" s="7" t="str">
        <f aca="false">IF(CQ5="T T", "Risk", IF(CQ5="A A", "Protective", "Het"))</f>
        <v>Risk</v>
      </c>
      <c r="CS5" s="7" t="s">
        <v>147</v>
      </c>
      <c r="CT5" s="7" t="str">
        <f aca="false">IF(CS5="T T", "Risk", IF(CS5="C C", "Protective", "Het"))</f>
        <v>Risk</v>
      </c>
      <c r="CU5" s="7" t="s">
        <v>147</v>
      </c>
      <c r="CV5" s="7" t="str">
        <f aca="false">IF(CU5="C C", "Risk", IF(CU5="T T", "Protective", "Het"))</f>
        <v>Protective</v>
      </c>
      <c r="CW5" s="7" t="s">
        <v>162</v>
      </c>
      <c r="CX5" s="7" t="str">
        <f aca="false">IF(CW5="G G", "Risk", IF(CW5="C C", "Protective", "Het"))</f>
        <v>Het</v>
      </c>
      <c r="CY5" s="7" t="s">
        <v>149</v>
      </c>
      <c r="CZ5" s="7" t="str">
        <f aca="false">IF(CY5="A A", "Risk", IF(CY5="G G", "Protective", "Het"))</f>
        <v>Risk</v>
      </c>
      <c r="DA5" s="7" t="s">
        <v>154</v>
      </c>
      <c r="DB5" s="7" t="str">
        <f aca="false">IF(DA5="A A", "Risk", IF(DA5="G G", "Protective", "Het"))</f>
        <v>Het</v>
      </c>
      <c r="DC5" s="7" t="s">
        <v>148</v>
      </c>
      <c r="DD5" s="7" t="str">
        <f aca="false">IF(DC5="C C", "Risk", IF(DC5="A A", "Protective", "Het"))</f>
        <v>Risk</v>
      </c>
      <c r="DE5" s="7" t="s">
        <v>147</v>
      </c>
      <c r="DF5" s="7" t="str">
        <f aca="false">IF(DE5="T T", "Risk", IF(DE5="C C", "Protective", "Het"))</f>
        <v>Risk</v>
      </c>
      <c r="DG5" s="7" t="s">
        <v>146</v>
      </c>
      <c r="DH5" s="7" t="str">
        <f aca="false">IF(DG5="T T", "Risk", IF(DG5="G G", "Protective", "Het"))</f>
        <v>Protective</v>
      </c>
      <c r="DI5" s="7" t="s">
        <v>151</v>
      </c>
      <c r="DJ5" s="7" t="str">
        <f aca="false">IF(DI5="C C", "Risk", IF(DI5="T T", "Protective", "Het"))</f>
        <v>Het</v>
      </c>
      <c r="DK5" s="7" t="s">
        <v>145</v>
      </c>
      <c r="DL5" s="7" t="str">
        <f aca="false">IF(DK5="A A", "Risk", IF(DK5="G G", "Protective", "Het"))</f>
        <v>Het</v>
      </c>
      <c r="DM5" s="7" t="s">
        <v>146</v>
      </c>
      <c r="DN5" s="7" t="str">
        <f aca="false">IF(DM5="C C", "Risk", IF(DM5="G G", "Protective", "Het"))</f>
        <v>Protective</v>
      </c>
      <c r="DO5" s="7" t="s">
        <v>146</v>
      </c>
      <c r="DP5" s="7" t="s">
        <v>148</v>
      </c>
      <c r="DQ5" s="7" t="s">
        <v>147</v>
      </c>
      <c r="DR5" s="7" t="s">
        <v>146</v>
      </c>
      <c r="DS5" s="7" t="s">
        <v>148</v>
      </c>
      <c r="DT5" s="7" t="s">
        <v>148</v>
      </c>
      <c r="DU5" s="7" t="s">
        <v>149</v>
      </c>
      <c r="DV5" s="7" t="s">
        <v>146</v>
      </c>
      <c r="DW5" s="7" t="s">
        <v>148</v>
      </c>
      <c r="DX5" s="7" t="s">
        <v>148</v>
      </c>
      <c r="DY5" s="7" t="s">
        <v>147</v>
      </c>
      <c r="DZ5" s="7" t="s">
        <v>149</v>
      </c>
      <c r="EA5" s="7" t="s">
        <v>146</v>
      </c>
      <c r="EB5" s="7" t="s">
        <v>148</v>
      </c>
      <c r="EC5" s="7" t="s">
        <v>146</v>
      </c>
      <c r="ED5" s="7" t="s">
        <v>146</v>
      </c>
      <c r="EE5" s="7" t="s">
        <v>146</v>
      </c>
      <c r="EF5" s="0"/>
    </row>
    <row r="6" s="7" customFormat="tru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0"/>
    </row>
    <row r="7" s="7" customFormat="true" ht="15" hidden="false" customHeight="false" outlineLevel="0" collapsed="false">
      <c r="A7" s="7" t="s">
        <v>135</v>
      </c>
      <c r="E7" s="2" t="s">
        <v>136</v>
      </c>
      <c r="F7" s="2" t="s">
        <v>136</v>
      </c>
      <c r="G7" s="7" t="s">
        <v>167</v>
      </c>
      <c r="H7" s="2" t="s">
        <v>138</v>
      </c>
      <c r="I7" s="7" t="n">
        <v>33</v>
      </c>
      <c r="J7" s="2"/>
      <c r="K7" s="2" t="s">
        <v>139</v>
      </c>
      <c r="L7" s="9" t="n">
        <v>2.88</v>
      </c>
      <c r="M7" s="10" t="s">
        <v>158</v>
      </c>
      <c r="N7" s="10" t="s">
        <v>159</v>
      </c>
      <c r="O7" s="10" t="n">
        <v>0.34</v>
      </c>
      <c r="P7" s="10" t="n">
        <v>5.4</v>
      </c>
      <c r="Q7" s="10" t="n">
        <v>15.7</v>
      </c>
      <c r="R7" s="7" t="s">
        <v>168</v>
      </c>
      <c r="S7" s="7" t="s">
        <v>169</v>
      </c>
      <c r="T7" s="7" t="s">
        <v>145</v>
      </c>
      <c r="U7" s="7" t="str">
        <f aca="false">IF(T7="G G", "Risk", IF(T7="A A", "Protective", "Het"))</f>
        <v>Het</v>
      </c>
      <c r="V7" s="7" t="s">
        <v>145</v>
      </c>
      <c r="W7" s="7" t="str">
        <f aca="false">IF(V7="G G", "Risk", IF(V7="A A", "Protective", "Het"))</f>
        <v>Het</v>
      </c>
      <c r="X7" s="7" t="s">
        <v>148</v>
      </c>
      <c r="Y7" s="7" t="str">
        <f aca="false">IF(X7="T T", "Risk", IF(X7="C C", "Protective", "Het"))</f>
        <v>Protective</v>
      </c>
      <c r="Z7" s="7" t="s">
        <v>146</v>
      </c>
      <c r="AA7" s="7" t="str">
        <f aca="false">IF(Z7="G G", "Risk", IF(Z7="A A", "Protective", "Het"))</f>
        <v>Risk</v>
      </c>
      <c r="AB7" s="7" t="s">
        <v>148</v>
      </c>
      <c r="AC7" s="7" t="str">
        <f aca="false">IF(AB7="T T", "Risk", IF(AB7="C C", "Protective", "Het"))</f>
        <v>Protective</v>
      </c>
      <c r="AD7" s="7" t="s">
        <v>154</v>
      </c>
      <c r="AE7" s="7" t="str">
        <f aca="false">IF(AD7="A A", "Risk", IF(AD7="G G", "Protective", "Het"))</f>
        <v>Het</v>
      </c>
      <c r="AF7" s="7" t="s">
        <v>146</v>
      </c>
      <c r="AG7" s="7" t="str">
        <f aca="false">IF(AF7="G G", "Risk", IF(AF7="T T", "Protective", "Het"))</f>
        <v>Risk</v>
      </c>
      <c r="AH7" s="7" t="s">
        <v>150</v>
      </c>
      <c r="AI7" s="7" t="str">
        <f aca="false">IF(AH7="TG TG", "Risk", IF(AH7="T T", "Protective", "Het"))</f>
        <v>Risk</v>
      </c>
      <c r="AJ7" s="7" t="s">
        <v>151</v>
      </c>
      <c r="AK7" s="7" t="str">
        <f aca="false">IF(AJ7="T T", "Risk", IF(AJ7="C C", "Protective", "Het"))</f>
        <v>Het</v>
      </c>
      <c r="AL7" s="7" t="s">
        <v>146</v>
      </c>
      <c r="AM7" s="7" t="str">
        <f aca="false">IF(AL7="G G", "Risk", IF(AL7="A A", "Protective", "Het"))</f>
        <v>Risk</v>
      </c>
      <c r="AN7" s="7" t="s">
        <v>147</v>
      </c>
      <c r="AO7" s="7" t="str">
        <f aca="false">IF(AN7="T T", "Risk", IF(AN7="C C", "Protective", "Het"))</f>
        <v>Risk</v>
      </c>
      <c r="AP7" s="7" t="s">
        <v>152</v>
      </c>
      <c r="AQ7" s="7" t="str">
        <f aca="false">IF(AP7="C C", "Risk", IF(AP7="T T", "Protective", "Het"))</f>
        <v>Het</v>
      </c>
      <c r="AR7" s="7" t="s">
        <v>146</v>
      </c>
      <c r="AS7" s="7" t="str">
        <f aca="false">IF(AR7="A A", "Risk", IF(AR7="G G", "Protective", "Het"))</f>
        <v>Protective</v>
      </c>
      <c r="AT7" s="7" t="s">
        <v>149</v>
      </c>
      <c r="AU7" s="7" t="str">
        <f aca="false">IF(AT7="G G", "Risk", IF(AT7="A A", "Protective", "Het"))</f>
        <v>Protective</v>
      </c>
      <c r="AV7" s="7" t="s">
        <v>145</v>
      </c>
      <c r="AW7" s="7" t="str">
        <f aca="false">IF(AV7="G G", "Risk", IF(AV7="A A", "Protective", "Het"))</f>
        <v>Het</v>
      </c>
      <c r="AX7" s="7" t="s">
        <v>148</v>
      </c>
      <c r="AY7" s="7" t="str">
        <f aca="false">IF(AX7="C C", "Risk", IF(AX7="T T", "Protective", "Het"))</f>
        <v>Risk</v>
      </c>
      <c r="AZ7" s="7" t="s">
        <v>148</v>
      </c>
      <c r="BA7" s="7" t="str">
        <f aca="false">IF(AZ7="C C", "Risk", IF(AZ7="T T", "Protective", "Het"))</f>
        <v>Risk</v>
      </c>
      <c r="BB7" s="7" t="s">
        <v>149</v>
      </c>
      <c r="BC7" s="7" t="str">
        <f aca="false">IF(BB7="A A", "Risk", IF(BB7="G G", "Protective", "Het"))</f>
        <v>Risk</v>
      </c>
      <c r="BD7" s="7" t="s">
        <v>146</v>
      </c>
      <c r="BE7" s="7" t="str">
        <f aca="false">IF(BD7="A A", "Risk", IF(BD7="G G", "Protective", "Het"))</f>
        <v>Protective</v>
      </c>
      <c r="BF7" s="7" t="s">
        <v>149</v>
      </c>
      <c r="BG7" s="7" t="str">
        <f aca="false">IF(BF7="G G", "Risk", IF(BF7="A A", "Protective", "Het"))</f>
        <v>Protective</v>
      </c>
      <c r="BH7" s="7" t="s">
        <v>145</v>
      </c>
      <c r="BI7" s="7" t="str">
        <f aca="false">IF(BH7="G G", "Risk", IF(BH7="A A", "Protective", "Het"))</f>
        <v>Het</v>
      </c>
      <c r="BJ7" s="7" t="s">
        <v>153</v>
      </c>
      <c r="BK7" s="7" t="str">
        <f aca="false">IF(BJ7="G G", "Risk", IF(BJ7="T T", "Protective", "Het"))</f>
        <v>Het</v>
      </c>
      <c r="BL7" s="7" t="s">
        <v>148</v>
      </c>
      <c r="BM7" s="7" t="str">
        <f aca="false">IF(BL7="C C", "Risk", IF(BL7="T T", "Protective", "Het"))</f>
        <v>Risk</v>
      </c>
      <c r="BN7" s="7" t="s">
        <v>147</v>
      </c>
      <c r="BO7" s="7" t="str">
        <f aca="false">IF(BN7="T T", "Risk", IF(BN7="C C", "Protective", "Het"))</f>
        <v>Risk</v>
      </c>
      <c r="BP7" s="7" t="s">
        <v>146</v>
      </c>
      <c r="BQ7" s="7" t="str">
        <f aca="false">IF(BP7="A A", "Risk", IF(BP7="G G", "Protective", "Het"))</f>
        <v>Protective</v>
      </c>
      <c r="BR7" s="7" t="s">
        <v>160</v>
      </c>
      <c r="BS7" s="7" t="str">
        <f aca="false">IF(BR7="C C", "Risk", IF(BR7="A A", "Protective", "Het"))</f>
        <v>Het</v>
      </c>
      <c r="BT7" s="7" t="s">
        <v>151</v>
      </c>
      <c r="BU7" s="7" t="str">
        <f aca="false">IF(BT7="T T", "Risk", IF(BT7="C C", "Protective", "Het"))</f>
        <v>Het</v>
      </c>
      <c r="BV7" s="7" t="s">
        <v>146</v>
      </c>
      <c r="BW7" s="7" t="str">
        <f aca="false">IF(BV7="A A", "Risk", IF(BV7="G G", "Protective", "Het"))</f>
        <v>Protective</v>
      </c>
      <c r="BX7" s="7" t="s">
        <v>149</v>
      </c>
      <c r="BY7" s="7" t="str">
        <f aca="false">IF(BX7="A A", "Risk", IF(BX7="G G", "Protective", "Het"))</f>
        <v>Risk</v>
      </c>
      <c r="BZ7" s="7" t="s">
        <v>148</v>
      </c>
      <c r="CA7" s="7" t="str">
        <f aca="false">IF(BZ7="C C", "Risk", IF(BZ7="T T", "Protective", "Het"))</f>
        <v>Risk</v>
      </c>
      <c r="CB7" s="7" t="s">
        <v>146</v>
      </c>
      <c r="CC7" s="7" t="str">
        <f aca="false">IF(CB7="G G", "Risk", IF(CB7="T T", "Protective", "Het"))</f>
        <v>Risk</v>
      </c>
      <c r="CD7" s="7" t="s">
        <v>156</v>
      </c>
      <c r="CE7" s="7" t="str">
        <f aca="false">IF(CD7="T T", "Risk", IF(CD7="A A", "Protective", "Het"))</f>
        <v>Het</v>
      </c>
      <c r="CF7" s="7" t="s">
        <v>151</v>
      </c>
      <c r="CG7" s="7" t="str">
        <f aca="false">IF(CF7="C C", "Risk", IF(CF7="T T", "Protective", "Het"))</f>
        <v>Het</v>
      </c>
      <c r="CH7" s="7" t="s">
        <v>148</v>
      </c>
      <c r="CI7" s="7" t="s">
        <v>147</v>
      </c>
      <c r="CJ7" s="7" t="str">
        <f aca="false">IF(CI7="T T", "Risk", IF(CI7="C C", "Protective", "Het"))</f>
        <v>Risk</v>
      </c>
      <c r="CK7" s="7" t="s">
        <v>148</v>
      </c>
      <c r="CL7" s="7" t="str">
        <f aca="false">IF(CK7="T T", "Risk", IF(CK7="C C", "Protective", "Het"))</f>
        <v>Protective</v>
      </c>
      <c r="CM7" s="7" t="s">
        <v>148</v>
      </c>
      <c r="CN7" s="7" t="str">
        <f aca="false">IF(CM7="T T", "Risk", IF(CM7="C C", "Protective", "Het"))</f>
        <v>Protective</v>
      </c>
      <c r="CO7" s="7" t="s">
        <v>146</v>
      </c>
      <c r="CP7" s="7" t="str">
        <f aca="false">IF(CO7="A A", "Risk", IF(CO7="G G", "Protective", "Het"))</f>
        <v>Protective</v>
      </c>
      <c r="CQ7" s="7" t="s">
        <v>147</v>
      </c>
      <c r="CR7" s="7" t="str">
        <f aca="false">IF(CQ7="T T", "Risk", IF(CQ7="A A", "Protective", "Het"))</f>
        <v>Risk</v>
      </c>
      <c r="CS7" s="7" t="s">
        <v>147</v>
      </c>
      <c r="CT7" s="7" t="str">
        <f aca="false">IF(CS7="T T", "Risk", IF(CS7="C C", "Protective", "Het"))</f>
        <v>Risk</v>
      </c>
      <c r="CU7" s="7" t="s">
        <v>147</v>
      </c>
      <c r="CV7" s="7" t="str">
        <f aca="false">IF(CU7="C C", "Risk", IF(CU7="T T", "Protective", "Het"))</f>
        <v>Protective</v>
      </c>
      <c r="CW7" s="7" t="s">
        <v>148</v>
      </c>
      <c r="CX7" s="7" t="str">
        <f aca="false">IF(CW7="G G", "Risk", IF(CW7="C C", "Protective", "Het"))</f>
        <v>Protective</v>
      </c>
      <c r="CY7" s="7" t="s">
        <v>154</v>
      </c>
      <c r="CZ7" s="7" t="str">
        <f aca="false">IF(CY7="A A", "Risk", IF(CY7="G G", "Protective", "Het"))</f>
        <v>Het</v>
      </c>
      <c r="DA7" s="7" t="s">
        <v>154</v>
      </c>
      <c r="DB7" s="7" t="str">
        <f aca="false">IF(DA7="A A", "Risk", IF(DA7="G G", "Protective", "Het"))</f>
        <v>Het</v>
      </c>
      <c r="DC7" s="7" t="s">
        <v>148</v>
      </c>
      <c r="DD7" s="7" t="str">
        <f aca="false">IF(DC7="C C", "Risk", IF(DC7="A A", "Protective", "Het"))</f>
        <v>Risk</v>
      </c>
      <c r="DE7" s="7" t="s">
        <v>147</v>
      </c>
      <c r="DF7" s="7" t="str">
        <f aca="false">IF(DE7="T T", "Risk", IF(DE7="C C", "Protective", "Het"))</f>
        <v>Risk</v>
      </c>
      <c r="DG7" s="7" t="s">
        <v>146</v>
      </c>
      <c r="DH7" s="7" t="str">
        <f aca="false">IF(DG7="T T", "Risk", IF(DG7="G G", "Protective", "Het"))</f>
        <v>Protective</v>
      </c>
      <c r="DI7" s="7" t="s">
        <v>151</v>
      </c>
      <c r="DJ7" s="7" t="str">
        <f aca="false">IF(DI7="C C", "Risk", IF(DI7="T T", "Protective", "Het"))</f>
        <v>Het</v>
      </c>
      <c r="DK7" s="7" t="s">
        <v>146</v>
      </c>
      <c r="DL7" s="7" t="str">
        <f aca="false">IF(DK7="A A", "Risk", IF(DK7="G G", "Protective", "Het"))</f>
        <v>Protective</v>
      </c>
      <c r="DM7" s="7" t="s">
        <v>155</v>
      </c>
      <c r="DN7" s="7" t="str">
        <f aca="false">IF(DM7="C C", "Risk", IF(DM7="G G", "Protective", "Het"))</f>
        <v>Het</v>
      </c>
      <c r="DO7" s="7" t="s">
        <v>146</v>
      </c>
      <c r="DP7" s="7" t="s">
        <v>148</v>
      </c>
      <c r="DQ7" s="7" t="s">
        <v>147</v>
      </c>
      <c r="DR7" s="7" t="s">
        <v>146</v>
      </c>
      <c r="DS7" s="7" t="s">
        <v>148</v>
      </c>
      <c r="DT7" s="7" t="s">
        <v>148</v>
      </c>
      <c r="DU7" s="7" t="s">
        <v>145</v>
      </c>
      <c r="DV7" s="7" t="s">
        <v>146</v>
      </c>
      <c r="DW7" s="7" t="s">
        <v>160</v>
      </c>
      <c r="DX7" s="7" t="s">
        <v>148</v>
      </c>
      <c r="DY7" s="7" t="s">
        <v>147</v>
      </c>
      <c r="DZ7" s="7" t="s">
        <v>156</v>
      </c>
      <c r="EA7" s="7" t="s">
        <v>146</v>
      </c>
      <c r="EB7" s="7" t="s">
        <v>148</v>
      </c>
      <c r="EC7" s="7" t="s">
        <v>146</v>
      </c>
      <c r="ED7" s="7" t="s">
        <v>146</v>
      </c>
      <c r="EE7" s="7" t="s">
        <v>146</v>
      </c>
      <c r="EF7" s="0"/>
    </row>
    <row r="8" s="7" customFormat="true" ht="15" hidden="false" customHeight="false" outlineLevel="0" collapsed="false">
      <c r="A8" s="7" t="s">
        <v>135</v>
      </c>
      <c r="E8" s="2" t="s">
        <v>136</v>
      </c>
      <c r="F8" s="2" t="s">
        <v>136</v>
      </c>
      <c r="G8" s="7" t="s">
        <v>170</v>
      </c>
      <c r="H8" s="2" t="s">
        <v>138</v>
      </c>
      <c r="I8" s="2"/>
      <c r="J8" s="2"/>
      <c r="K8" s="2" t="s">
        <v>139</v>
      </c>
      <c r="L8" s="11" t="n">
        <v>9.44</v>
      </c>
      <c r="M8" s="12" t="s">
        <v>158</v>
      </c>
      <c r="N8" s="12" t="s">
        <v>159</v>
      </c>
      <c r="O8" s="12" t="n">
        <v>0.84</v>
      </c>
      <c r="P8" s="12" t="n">
        <v>4.5</v>
      </c>
      <c r="Q8" s="12" t="n">
        <v>13.3</v>
      </c>
      <c r="R8" s="7" t="s">
        <v>168</v>
      </c>
      <c r="S8" s="7" t="s">
        <v>169</v>
      </c>
      <c r="T8" s="7" t="s">
        <v>145</v>
      </c>
      <c r="U8" s="7" t="str">
        <f aca="false">IF(T8="G G", "Risk", IF(T8="A A", "Protective", "Het"))</f>
        <v>Het</v>
      </c>
      <c r="V8" s="7" t="s">
        <v>146</v>
      </c>
      <c r="W8" s="7" t="str">
        <f aca="false">IF(V8="G G", "Risk", IF(V8="A A", "Protective", "Het"))</f>
        <v>Risk</v>
      </c>
      <c r="X8" s="7" t="s">
        <v>148</v>
      </c>
      <c r="Y8" s="7" t="str">
        <f aca="false">IF(X8="T T", "Risk", IF(X8="C C", "Protective", "Het"))</f>
        <v>Protective</v>
      </c>
      <c r="Z8" s="7" t="s">
        <v>146</v>
      </c>
      <c r="AA8" s="7" t="str">
        <f aca="false">IF(Z8="G G", "Risk", IF(Z8="A A", "Protective", "Het"))</f>
        <v>Risk</v>
      </c>
      <c r="AB8" s="7" t="s">
        <v>148</v>
      </c>
      <c r="AC8" s="7" t="str">
        <f aca="false">IF(AB8="T T", "Risk", IF(AB8="C C", "Protective", "Het"))</f>
        <v>Protective</v>
      </c>
      <c r="AD8" s="7" t="s">
        <v>154</v>
      </c>
      <c r="AE8" s="7" t="str">
        <f aca="false">IF(AD8="A A", "Risk", IF(AD8="G G", "Protective", "Het"))</f>
        <v>Het</v>
      </c>
      <c r="AF8" s="7" t="s">
        <v>146</v>
      </c>
      <c r="AG8" s="7" t="str">
        <f aca="false">IF(AF8="G G", "Risk", IF(AF8="T T", "Protective", "Het"))</f>
        <v>Risk</v>
      </c>
      <c r="AH8" s="7" t="s">
        <v>150</v>
      </c>
      <c r="AI8" s="7" t="str">
        <f aca="false">IF(AH8="TG TG", "Risk", IF(AH8="T T", "Protective", "Het"))</f>
        <v>Risk</v>
      </c>
      <c r="AJ8" s="7" t="s">
        <v>148</v>
      </c>
      <c r="AK8" s="7" t="str">
        <f aca="false">IF(AJ8="T T", "Risk", IF(AJ8="C C", "Protective", "Het"))</f>
        <v>Protective</v>
      </c>
      <c r="AL8" s="7" t="s">
        <v>146</v>
      </c>
      <c r="AM8" s="7" t="str">
        <f aca="false">IF(AL8="G G", "Risk", IF(AL8="A A", "Protective", "Het"))</f>
        <v>Risk</v>
      </c>
      <c r="AN8" s="7" t="s">
        <v>147</v>
      </c>
      <c r="AO8" s="7" t="str">
        <f aca="false">IF(AN8="T T", "Risk", IF(AN8="C C", "Protective", "Het"))</f>
        <v>Risk</v>
      </c>
      <c r="AP8" s="7" t="s">
        <v>148</v>
      </c>
      <c r="AQ8" s="7" t="str">
        <f aca="false">IF(AP8="C C", "Risk", IF(AP8="T T", "Protective", "Het"))</f>
        <v>Risk</v>
      </c>
      <c r="AR8" s="7" t="s">
        <v>146</v>
      </c>
      <c r="AS8" s="7" t="str">
        <f aca="false">IF(AR8="A A", "Risk", IF(AR8="G G", "Protective", "Het"))</f>
        <v>Protective</v>
      </c>
      <c r="AT8" s="7" t="s">
        <v>154</v>
      </c>
      <c r="AU8" s="7" t="str">
        <f aca="false">IF(AT8="G G", "Risk", IF(AT8="A A", "Protective", "Het"))</f>
        <v>Het</v>
      </c>
      <c r="AV8" s="7" t="s">
        <v>145</v>
      </c>
      <c r="AW8" s="7" t="str">
        <f aca="false">IF(AV8="G G", "Risk", IF(AV8="A A", "Protective", "Het"))</f>
        <v>Het</v>
      </c>
      <c r="AX8" s="7" t="s">
        <v>148</v>
      </c>
      <c r="AY8" s="7" t="str">
        <f aca="false">IF(AX8="C C", "Risk", IF(AX8="T T", "Protective", "Het"))</f>
        <v>Risk</v>
      </c>
      <c r="AZ8" s="7" t="s">
        <v>148</v>
      </c>
      <c r="BA8" s="7" t="str">
        <f aca="false">IF(AZ8="C C", "Risk", IF(AZ8="T T", "Protective", "Het"))</f>
        <v>Risk</v>
      </c>
      <c r="BB8" s="7" t="s">
        <v>145</v>
      </c>
      <c r="BC8" s="7" t="str">
        <f aca="false">IF(BB8="A A", "Risk", IF(BB8="G G", "Protective", "Het"))</f>
        <v>Het</v>
      </c>
      <c r="BD8" s="7" t="s">
        <v>146</v>
      </c>
      <c r="BE8" s="7" t="str">
        <f aca="false">IF(BD8="A A", "Risk", IF(BD8="G G", "Protective", "Het"))</f>
        <v>Protective</v>
      </c>
      <c r="BF8" s="7" t="s">
        <v>146</v>
      </c>
      <c r="BG8" s="7" t="str">
        <f aca="false">IF(BF8="G G", "Risk", IF(BF8="A A", "Protective", "Het"))</f>
        <v>Risk</v>
      </c>
      <c r="BH8" s="7" t="s">
        <v>145</v>
      </c>
      <c r="BI8" s="7" t="str">
        <f aca="false">IF(BH8="G G", "Risk", IF(BH8="A A", "Protective", "Het"))</f>
        <v>Het</v>
      </c>
      <c r="BJ8" s="7" t="s">
        <v>146</v>
      </c>
      <c r="BK8" s="7" t="str">
        <f aca="false">IF(BJ8="G G", "Risk", IF(BJ8="T T", "Protective", "Het"))</f>
        <v>Risk</v>
      </c>
      <c r="BL8" s="7" t="s">
        <v>148</v>
      </c>
      <c r="BM8" s="7" t="str">
        <f aca="false">IF(BL8="C C", "Risk", IF(BL8="T T", "Protective", "Het"))</f>
        <v>Risk</v>
      </c>
      <c r="BN8" s="7" t="s">
        <v>147</v>
      </c>
      <c r="BO8" s="7" t="str">
        <f aca="false">IF(BN8="T T", "Risk", IF(BN8="C C", "Protective", "Het"))</f>
        <v>Risk</v>
      </c>
      <c r="BP8" s="7" t="s">
        <v>146</v>
      </c>
      <c r="BQ8" s="7" t="str">
        <f aca="false">IF(BP8="A A", "Risk", IF(BP8="G G", "Protective", "Het"))</f>
        <v>Protective</v>
      </c>
      <c r="BR8" s="7" t="s">
        <v>148</v>
      </c>
      <c r="BS8" s="7" t="str">
        <f aca="false">IF(BR8="C C", "Risk", IF(BR8="A A", "Protective", "Het"))</f>
        <v>Risk</v>
      </c>
      <c r="BT8" s="7" t="s">
        <v>147</v>
      </c>
      <c r="BU8" s="7" t="str">
        <f aca="false">IF(BT8="T T", "Risk", IF(BT8="C C", "Protective", "Het"))</f>
        <v>Risk</v>
      </c>
      <c r="BV8" s="7" t="s">
        <v>145</v>
      </c>
      <c r="BW8" s="7" t="str">
        <f aca="false">IF(BV8="A A", "Risk", IF(BV8="G G", "Protective", "Het"))</f>
        <v>Het</v>
      </c>
      <c r="BX8" s="7" t="s">
        <v>154</v>
      </c>
      <c r="BY8" s="7" t="str">
        <f aca="false">IF(BX8="A A", "Risk", IF(BX8="G G", "Protective", "Het"))</f>
        <v>Het</v>
      </c>
      <c r="BZ8" s="7" t="s">
        <v>152</v>
      </c>
      <c r="CA8" s="7" t="str">
        <f aca="false">IF(BZ8="C C", "Risk", IF(BZ8="T T", "Protective", "Het"))</f>
        <v>Het</v>
      </c>
      <c r="CB8" s="7" t="s">
        <v>146</v>
      </c>
      <c r="CC8" s="7" t="str">
        <f aca="false">IF(CB8="G G", "Risk", IF(CB8="T T", "Protective", "Het"))</f>
        <v>Risk</v>
      </c>
      <c r="CD8" s="7" t="s">
        <v>156</v>
      </c>
      <c r="CE8" s="7" t="str">
        <f aca="false">IF(CD8="T T", "Risk", IF(CD8="A A", "Protective", "Het"))</f>
        <v>Het</v>
      </c>
      <c r="CF8" s="7" t="s">
        <v>151</v>
      </c>
      <c r="CG8" s="7" t="str">
        <f aca="false">IF(CF8="C C", "Risk", IF(CF8="T T", "Protective", "Het"))</f>
        <v>Het</v>
      </c>
      <c r="CH8" s="7" t="s">
        <v>148</v>
      </c>
      <c r="CI8" s="7" t="s">
        <v>147</v>
      </c>
      <c r="CJ8" s="7" t="str">
        <f aca="false">IF(CI8="T T", "Risk", IF(CI8="C C", "Protective", "Het"))</f>
        <v>Risk</v>
      </c>
      <c r="CK8" s="7" t="s">
        <v>148</v>
      </c>
      <c r="CL8" s="7" t="str">
        <f aca="false">IF(CK8="T T", "Risk", IF(CK8="C C", "Protective", "Het"))</f>
        <v>Protective</v>
      </c>
      <c r="CM8" s="7" t="s">
        <v>152</v>
      </c>
      <c r="CN8" s="7" t="str">
        <f aca="false">IF(CM8="T T", "Risk", IF(CM8="C C", "Protective", "Het"))</f>
        <v>Het</v>
      </c>
      <c r="CO8" s="7" t="s">
        <v>146</v>
      </c>
      <c r="CP8" s="7" t="str">
        <f aca="false">IF(CO8="A A", "Risk", IF(CO8="G G", "Protective", "Het"))</f>
        <v>Protective</v>
      </c>
      <c r="CQ8" s="7" t="s">
        <v>147</v>
      </c>
      <c r="CR8" s="7" t="str">
        <f aca="false">IF(CQ8="T T", "Risk", IF(CQ8="A A", "Protective", "Het"))</f>
        <v>Risk</v>
      </c>
      <c r="CS8" s="7" t="s">
        <v>147</v>
      </c>
      <c r="CT8" s="7" t="str">
        <f aca="false">IF(CS8="T T", "Risk", IF(CS8="C C", "Protective", "Het"))</f>
        <v>Risk</v>
      </c>
      <c r="CU8" s="7" t="s">
        <v>147</v>
      </c>
      <c r="CV8" s="7" t="str">
        <f aca="false">IF(CU8="C C", "Risk", IF(CU8="T T", "Protective", "Het"))</f>
        <v>Protective</v>
      </c>
      <c r="CW8" s="7" t="s">
        <v>148</v>
      </c>
      <c r="CX8" s="7" t="str">
        <f aca="false">IF(CW8="G G", "Risk", IF(CW8="C C", "Protective", "Het"))</f>
        <v>Protective</v>
      </c>
      <c r="CY8" s="7" t="s">
        <v>149</v>
      </c>
      <c r="CZ8" s="7" t="str">
        <f aca="false">IF(CY8="A A", "Risk", IF(CY8="G G", "Protective", "Het"))</f>
        <v>Risk</v>
      </c>
      <c r="DA8" s="7" t="s">
        <v>149</v>
      </c>
      <c r="DB8" s="7" t="str">
        <f aca="false">IF(DA8="A A", "Risk", IF(DA8="G G", "Protective", "Het"))</f>
        <v>Risk</v>
      </c>
      <c r="DC8" s="7" t="s">
        <v>148</v>
      </c>
      <c r="DD8" s="7" t="str">
        <f aca="false">IF(DC8="C C", "Risk", IF(DC8="A A", "Protective", "Het"))</f>
        <v>Risk</v>
      </c>
      <c r="DE8" s="7" t="s">
        <v>147</v>
      </c>
      <c r="DF8" s="7" t="str">
        <f aca="false">IF(DE8="T T", "Risk", IF(DE8="C C", "Protective", "Het"))</f>
        <v>Risk</v>
      </c>
      <c r="DG8" s="7" t="s">
        <v>146</v>
      </c>
      <c r="DH8" s="7" t="str">
        <f aca="false">IF(DG8="T T", "Risk", IF(DG8="G G", "Protective", "Het"))</f>
        <v>Protective</v>
      </c>
      <c r="DI8" s="7" t="s">
        <v>151</v>
      </c>
      <c r="DJ8" s="7" t="str">
        <f aca="false">IF(DI8="C C", "Risk", IF(DI8="T T", "Protective", "Het"))</f>
        <v>Het</v>
      </c>
      <c r="DK8" s="7" t="s">
        <v>146</v>
      </c>
      <c r="DL8" s="7" t="str">
        <f aca="false">IF(DK8="A A", "Risk", IF(DK8="G G", "Protective", "Het"))</f>
        <v>Protective</v>
      </c>
      <c r="DM8" s="7" t="s">
        <v>146</v>
      </c>
      <c r="DN8" s="7" t="str">
        <f aca="false">IF(DM8="C C", "Risk", IF(DM8="G G", "Protective", "Het"))</f>
        <v>Protective</v>
      </c>
      <c r="DO8" s="7" t="s">
        <v>146</v>
      </c>
      <c r="DP8" s="7" t="s">
        <v>148</v>
      </c>
      <c r="DQ8" s="7" t="s">
        <v>147</v>
      </c>
      <c r="DR8" s="7" t="s">
        <v>146</v>
      </c>
      <c r="DS8" s="7" t="s">
        <v>148</v>
      </c>
      <c r="DT8" s="7" t="s">
        <v>148</v>
      </c>
      <c r="DU8" s="7" t="s">
        <v>145</v>
      </c>
      <c r="DV8" s="7" t="s">
        <v>146</v>
      </c>
      <c r="DW8" s="7" t="s">
        <v>148</v>
      </c>
      <c r="DX8" s="7" t="s">
        <v>148</v>
      </c>
      <c r="DY8" s="7" t="s">
        <v>147</v>
      </c>
      <c r="DZ8" s="7" t="s">
        <v>149</v>
      </c>
      <c r="EA8" s="7" t="s">
        <v>146</v>
      </c>
      <c r="EB8" s="7" t="s">
        <v>148</v>
      </c>
      <c r="EC8" s="7" t="s">
        <v>146</v>
      </c>
      <c r="ED8" s="7" t="s">
        <v>149</v>
      </c>
      <c r="EE8" s="7" t="s">
        <v>149</v>
      </c>
      <c r="EF8" s="0"/>
    </row>
    <row r="9" s="7" customFormat="true" ht="15" hidden="false" customHeight="false" outlineLevel="0" collapsed="false">
      <c r="B9" s="7" t="s">
        <v>135</v>
      </c>
      <c r="E9" s="2" t="n">
        <v>19004</v>
      </c>
      <c r="F9" s="2" t="s">
        <v>171</v>
      </c>
      <c r="G9" s="7" t="s">
        <v>172</v>
      </c>
      <c r="H9" s="2" t="s">
        <v>138</v>
      </c>
      <c r="I9" s="2"/>
      <c r="J9" s="2"/>
      <c r="K9" s="2" t="s">
        <v>139</v>
      </c>
      <c r="L9" s="9" t="n">
        <v>1.59</v>
      </c>
      <c r="M9" s="10" t="s">
        <v>140</v>
      </c>
      <c r="N9" s="10" t="s">
        <v>159</v>
      </c>
      <c r="O9" s="10" t="n">
        <v>2.25</v>
      </c>
      <c r="P9" s="10" t="n">
        <v>5.3</v>
      </c>
      <c r="Q9" s="10" t="n">
        <v>17.6</v>
      </c>
      <c r="R9" s="7" t="s">
        <v>168</v>
      </c>
      <c r="S9" s="7" t="s">
        <v>169</v>
      </c>
      <c r="T9" s="7" t="s">
        <v>149</v>
      </c>
      <c r="U9" s="7" t="str">
        <f aca="false">IF(T9="G G", "Risk", IF(T9="A A", "Protective", "Het"))</f>
        <v>Protective</v>
      </c>
      <c r="V9" s="7" t="s">
        <v>146</v>
      </c>
      <c r="W9" s="7" t="str">
        <f aca="false">IF(V9="G G", "Risk", IF(V9="A A", "Protective", "Het"))</f>
        <v>Risk</v>
      </c>
      <c r="X9" s="7" t="s">
        <v>148</v>
      </c>
      <c r="Y9" s="7" t="str">
        <f aca="false">IF(X9="T T", "Risk", IF(X9="C C", "Protective", "Het"))</f>
        <v>Protective</v>
      </c>
      <c r="Z9" s="7" t="s">
        <v>146</v>
      </c>
      <c r="AA9" s="7" t="str">
        <f aca="false">IF(Z9="G G", "Risk", IF(Z9="A A", "Protective", "Het"))</f>
        <v>Risk</v>
      </c>
      <c r="AB9" s="7" t="s">
        <v>148</v>
      </c>
      <c r="AC9" s="7" t="str">
        <f aca="false">IF(AB9="T T", "Risk", IF(AB9="C C", "Protective", "Het"))</f>
        <v>Protective</v>
      </c>
      <c r="AD9" s="7" t="s">
        <v>149</v>
      </c>
      <c r="AE9" s="7" t="str">
        <f aca="false">IF(AD9="A A", "Risk", IF(AD9="G G", "Protective", "Het"))</f>
        <v>Risk</v>
      </c>
      <c r="AF9" s="7" t="s">
        <v>146</v>
      </c>
      <c r="AG9" s="7" t="str">
        <f aca="false">IF(AF9="G G", "Risk", IF(AF9="T T", "Protective", "Het"))</f>
        <v>Risk</v>
      </c>
      <c r="AH9" s="7" t="s">
        <v>150</v>
      </c>
      <c r="AI9" s="7" t="str">
        <f aca="false">IF(AH9="TG TG", "Risk", IF(AH9="T T", "Protective", "Het"))</f>
        <v>Risk</v>
      </c>
      <c r="AJ9" s="7" t="s">
        <v>147</v>
      </c>
      <c r="AK9" s="7" t="str">
        <f aca="false">IF(AJ9="T T", "Risk", IF(AJ9="C C", "Protective", "Het"))</f>
        <v>Risk</v>
      </c>
      <c r="AL9" s="7" t="s">
        <v>146</v>
      </c>
      <c r="AM9" s="7" t="str">
        <f aca="false">IF(AL9="G G", "Risk", IF(AL9="A A", "Protective", "Het"))</f>
        <v>Risk</v>
      </c>
      <c r="AN9" s="7" t="s">
        <v>147</v>
      </c>
      <c r="AO9" s="7" t="str">
        <f aca="false">IF(AN9="T T", "Risk", IF(AN9="C C", "Protective", "Het"))</f>
        <v>Risk</v>
      </c>
      <c r="AP9" s="7" t="s">
        <v>152</v>
      </c>
      <c r="AQ9" s="7" t="str">
        <f aca="false">IF(AP9="C C", "Risk", IF(AP9="T T", "Protective", "Het"))</f>
        <v>Het</v>
      </c>
      <c r="AR9" s="7" t="s">
        <v>146</v>
      </c>
      <c r="AS9" s="7" t="str">
        <f aca="false">IF(AR9="A A", "Risk", IF(AR9="G G", "Protective", "Het"))</f>
        <v>Protective</v>
      </c>
      <c r="AT9" s="7" t="s">
        <v>149</v>
      </c>
      <c r="AU9" s="7" t="str">
        <f aca="false">IF(AT9="G G", "Risk", IF(AT9="A A", "Protective", "Het"))</f>
        <v>Protective</v>
      </c>
      <c r="AV9" s="7" t="s">
        <v>145</v>
      </c>
      <c r="AW9" s="7" t="str">
        <f aca="false">IF(AV9="G G", "Risk", IF(AV9="A A", "Protective", "Het"))</f>
        <v>Het</v>
      </c>
      <c r="AX9" s="7" t="s">
        <v>152</v>
      </c>
      <c r="AY9" s="7" t="str">
        <f aca="false">IF(AX9="C C", "Risk", IF(AX9="T T", "Protective", "Het"))</f>
        <v>Het</v>
      </c>
      <c r="AZ9" s="7" t="s">
        <v>148</v>
      </c>
      <c r="BA9" s="7" t="str">
        <f aca="false">IF(AZ9="C C", "Risk", IF(AZ9="T T", "Protective", "Het"))</f>
        <v>Risk</v>
      </c>
      <c r="BB9" s="7" t="s">
        <v>145</v>
      </c>
      <c r="BC9" s="7" t="str">
        <f aca="false">IF(BB9="A A", "Risk", IF(BB9="G G", "Protective", "Het"))</f>
        <v>Het</v>
      </c>
      <c r="BD9" s="7" t="s">
        <v>146</v>
      </c>
      <c r="BE9" s="7" t="str">
        <f aca="false">IF(BD9="A A", "Risk", IF(BD9="G G", "Protective", "Het"))</f>
        <v>Protective</v>
      </c>
      <c r="BF9" s="7" t="s">
        <v>146</v>
      </c>
      <c r="BG9" s="7" t="str">
        <f aca="false">IF(BF9="G G", "Risk", IF(BF9="A A", "Protective", "Het"))</f>
        <v>Risk</v>
      </c>
      <c r="BH9" s="7" t="s">
        <v>145</v>
      </c>
      <c r="BI9" s="7" t="str">
        <f aca="false">IF(BH9="G G", "Risk", IF(BH9="A A", "Protective", "Het"))</f>
        <v>Het</v>
      </c>
      <c r="BJ9" s="7" t="s">
        <v>146</v>
      </c>
      <c r="BK9" s="7" t="str">
        <f aca="false">IF(BJ9="G G", "Risk", IF(BJ9="T T", "Protective", "Het"))</f>
        <v>Risk</v>
      </c>
      <c r="BL9" s="7" t="s">
        <v>148</v>
      </c>
      <c r="BM9" s="7" t="str">
        <f aca="false">IF(BL9="C C", "Risk", IF(BL9="T T", "Protective", "Het"))</f>
        <v>Risk</v>
      </c>
      <c r="BN9" s="7" t="s">
        <v>147</v>
      </c>
      <c r="BO9" s="7" t="str">
        <f aca="false">IF(BN9="T T", "Risk", IF(BN9="C C", "Protective", "Het"))</f>
        <v>Risk</v>
      </c>
      <c r="BP9" s="7" t="s">
        <v>146</v>
      </c>
      <c r="BQ9" s="7" t="str">
        <f aca="false">IF(BP9="A A", "Risk", IF(BP9="G G", "Protective", "Het"))</f>
        <v>Protective</v>
      </c>
      <c r="BR9" s="7" t="s">
        <v>148</v>
      </c>
      <c r="BS9" s="7" t="str">
        <f aca="false">IF(BR9="C C", "Risk", IF(BR9="A A", "Protective", "Het"))</f>
        <v>Risk</v>
      </c>
      <c r="BT9" s="7" t="s">
        <v>147</v>
      </c>
      <c r="BU9" s="7" t="str">
        <f aca="false">IF(BT9="T T", "Risk", IF(BT9="C C", "Protective", "Het"))</f>
        <v>Risk</v>
      </c>
      <c r="BV9" s="7" t="s">
        <v>149</v>
      </c>
      <c r="BW9" s="7" t="str">
        <f aca="false">IF(BV9="A A", "Risk", IF(BV9="G G", "Protective", "Het"))</f>
        <v>Risk</v>
      </c>
      <c r="BX9" s="7" t="s">
        <v>154</v>
      </c>
      <c r="BY9" s="7" t="str">
        <f aca="false">IF(BX9="A A", "Risk", IF(BX9="G G", "Protective", "Het"))</f>
        <v>Het</v>
      </c>
      <c r="BZ9" s="7" t="s">
        <v>148</v>
      </c>
      <c r="CA9" s="7" t="str">
        <f aca="false">IF(BZ9="C C", "Risk", IF(BZ9="T T", "Protective", "Het"))</f>
        <v>Risk</v>
      </c>
      <c r="CB9" s="7" t="s">
        <v>146</v>
      </c>
      <c r="CC9" s="7" t="str">
        <f aca="false">IF(CB9="G G", "Risk", IF(CB9="T T", "Protective", "Het"))</f>
        <v>Risk</v>
      </c>
      <c r="CD9" s="7" t="s">
        <v>156</v>
      </c>
      <c r="CE9" s="7" t="str">
        <f aca="false">IF(CD9="T T", "Risk", IF(CD9="A A", "Protective", "Het"))</f>
        <v>Het</v>
      </c>
      <c r="CF9" s="7" t="s">
        <v>151</v>
      </c>
      <c r="CG9" s="7" t="str">
        <f aca="false">IF(CF9="C C", "Risk", IF(CF9="T T", "Protective", "Het"))</f>
        <v>Het</v>
      </c>
      <c r="CH9" s="7" t="s">
        <v>148</v>
      </c>
      <c r="CI9" s="7" t="s">
        <v>147</v>
      </c>
      <c r="CJ9" s="7" t="str">
        <f aca="false">IF(CI9="T T", "Risk", IF(CI9="C C", "Protective", "Het"))</f>
        <v>Risk</v>
      </c>
      <c r="CK9" s="7" t="s">
        <v>152</v>
      </c>
      <c r="CL9" s="7" t="str">
        <f aca="false">IF(CK9="T T", "Risk", IF(CK9="C C", "Protective", "Het"))</f>
        <v>Het</v>
      </c>
      <c r="CM9" s="7" t="s">
        <v>148</v>
      </c>
      <c r="CN9" s="7" t="str">
        <f aca="false">IF(CM9="T T", "Risk", IF(CM9="C C", "Protective", "Het"))</f>
        <v>Protective</v>
      </c>
      <c r="CO9" s="7" t="s">
        <v>145</v>
      </c>
      <c r="CP9" s="7" t="str">
        <f aca="false">IF(CO9="A A", "Risk", IF(CO9="G G", "Protective", "Het"))</f>
        <v>Het</v>
      </c>
      <c r="CQ9" s="7" t="s">
        <v>147</v>
      </c>
      <c r="CR9" s="7" t="str">
        <f aca="false">IF(CQ9="T T", "Risk", IF(CQ9="A A", "Protective", "Het"))</f>
        <v>Risk</v>
      </c>
      <c r="CS9" s="7" t="s">
        <v>147</v>
      </c>
      <c r="CT9" s="7" t="str">
        <f aca="false">IF(CS9="T T", "Risk", IF(CS9="C C", "Protective", "Het"))</f>
        <v>Risk</v>
      </c>
      <c r="CU9" s="7" t="s">
        <v>151</v>
      </c>
      <c r="CV9" s="7" t="str">
        <f aca="false">IF(CU9="C C", "Risk", IF(CU9="T T", "Protective", "Het"))</f>
        <v>Het</v>
      </c>
      <c r="CW9" s="7" t="s">
        <v>148</v>
      </c>
      <c r="CX9" s="7" t="str">
        <f aca="false">IF(CW9="G G", "Risk", IF(CW9="C C", "Protective", "Het"))</f>
        <v>Protective</v>
      </c>
      <c r="CY9" s="7" t="s">
        <v>149</v>
      </c>
      <c r="CZ9" s="7" t="str">
        <f aca="false">IF(CY9="A A", "Risk", IF(CY9="G G", "Protective", "Het"))</f>
        <v>Risk</v>
      </c>
      <c r="DA9" s="7" t="s">
        <v>146</v>
      </c>
      <c r="DB9" s="7" t="str">
        <f aca="false">IF(DA9="A A", "Risk", IF(DA9="G G", "Protective", "Het"))</f>
        <v>Protective</v>
      </c>
      <c r="DC9" s="7" t="s">
        <v>148</v>
      </c>
      <c r="DD9" s="7" t="str">
        <f aca="false">IF(DC9="C C", "Risk", IF(DC9="A A", "Protective", "Het"))</f>
        <v>Risk</v>
      </c>
      <c r="DE9" s="7" t="s">
        <v>147</v>
      </c>
      <c r="DF9" s="7" t="str">
        <f aca="false">IF(DE9="T T", "Risk", IF(DE9="C C", "Protective", "Het"))</f>
        <v>Risk</v>
      </c>
      <c r="DG9" s="7" t="s">
        <v>146</v>
      </c>
      <c r="DH9" s="7" t="str">
        <f aca="false">IF(DG9="T T", "Risk", IF(DG9="G G", "Protective", "Het"))</f>
        <v>Protective</v>
      </c>
      <c r="DI9" s="7" t="s">
        <v>147</v>
      </c>
      <c r="DJ9" s="7" t="str">
        <f aca="false">IF(DI9="C C", "Risk", IF(DI9="T T", "Protective", "Het"))</f>
        <v>Protective</v>
      </c>
      <c r="DK9" s="7" t="s">
        <v>146</v>
      </c>
      <c r="DL9" s="7" t="str">
        <f aca="false">IF(DK9="A A", "Risk", IF(DK9="G G", "Protective", "Het"))</f>
        <v>Protective</v>
      </c>
      <c r="DM9" s="7" t="s">
        <v>146</v>
      </c>
      <c r="DN9" s="7" t="str">
        <f aca="false">IF(DM9="C C", "Risk", IF(DM9="G G", "Protective", "Het"))</f>
        <v>Protective</v>
      </c>
      <c r="DO9" s="7" t="s">
        <v>145</v>
      </c>
      <c r="DP9" s="7" t="s">
        <v>148</v>
      </c>
      <c r="DQ9" s="7" t="s">
        <v>147</v>
      </c>
      <c r="DR9" s="7" t="s">
        <v>146</v>
      </c>
      <c r="DS9" s="7" t="s">
        <v>152</v>
      </c>
      <c r="DT9" s="7" t="s">
        <v>148</v>
      </c>
      <c r="DU9" s="7" t="s">
        <v>146</v>
      </c>
      <c r="DV9" s="7" t="s">
        <v>146</v>
      </c>
      <c r="DW9" s="7" t="s">
        <v>148</v>
      </c>
      <c r="DX9" s="7" t="s">
        <v>148</v>
      </c>
      <c r="DY9" s="7" t="s">
        <v>147</v>
      </c>
      <c r="DZ9" s="7" t="s">
        <v>149</v>
      </c>
      <c r="EA9" s="7" t="s">
        <v>146</v>
      </c>
      <c r="EB9" s="7" t="s">
        <v>148</v>
      </c>
      <c r="EC9" s="7" t="s">
        <v>146</v>
      </c>
      <c r="ED9" s="7" t="s">
        <v>146</v>
      </c>
      <c r="EE9" s="7" t="s">
        <v>146</v>
      </c>
      <c r="EF9" s="0"/>
    </row>
    <row r="10" s="7" customFormat="true" ht="15" hidden="false" customHeight="false" outlineLevel="0" collapsed="false">
      <c r="A10" s="7" t="s">
        <v>173</v>
      </c>
      <c r="C10" s="7" t="s">
        <v>135</v>
      </c>
      <c r="E10" s="2" t="s">
        <v>136</v>
      </c>
      <c r="F10" s="2" t="s">
        <v>136</v>
      </c>
      <c r="G10" s="7" t="s">
        <v>174</v>
      </c>
      <c r="H10" s="2" t="s">
        <v>138</v>
      </c>
      <c r="I10" s="2"/>
      <c r="J10" s="2"/>
      <c r="K10" s="2" t="s">
        <v>139</v>
      </c>
      <c r="L10" s="8" t="n">
        <v>0.77</v>
      </c>
      <c r="M10" s="12" t="s">
        <v>158</v>
      </c>
      <c r="N10" s="12" t="s">
        <v>159</v>
      </c>
      <c r="O10" s="12" t="n">
        <v>1.25</v>
      </c>
      <c r="P10" s="12" t="n">
        <v>2.6</v>
      </c>
      <c r="Q10" s="12" t="n">
        <v>11.8</v>
      </c>
      <c r="R10" s="7" t="s">
        <v>168</v>
      </c>
      <c r="S10" s="7" t="s">
        <v>169</v>
      </c>
      <c r="T10" s="7" t="s">
        <v>145</v>
      </c>
      <c r="U10" s="7" t="str">
        <f aca="false">IF(T10="G G", "Risk", IF(T10="A A", "Protective", "Het"))</f>
        <v>Het</v>
      </c>
      <c r="V10" s="7" t="s">
        <v>146</v>
      </c>
      <c r="W10" s="7" t="str">
        <f aca="false">IF(V10="G G", "Risk", IF(V10="A A", "Protective", "Het"))</f>
        <v>Risk</v>
      </c>
      <c r="X10" s="7" t="s">
        <v>148</v>
      </c>
      <c r="Y10" s="7" t="str">
        <f aca="false">IF(X10="T T", "Risk", IF(X10="C C", "Protective", "Het"))</f>
        <v>Protective</v>
      </c>
      <c r="Z10" s="7" t="s">
        <v>146</v>
      </c>
      <c r="AA10" s="7" t="str">
        <f aca="false">IF(Z10="G G", "Risk", IF(Z10="A A", "Protective", "Het"))</f>
        <v>Risk</v>
      </c>
      <c r="AB10" s="7" t="s">
        <v>148</v>
      </c>
      <c r="AC10" s="7" t="str">
        <f aca="false">IF(AB10="T T", "Risk", IF(AB10="C C", "Protective", "Het"))</f>
        <v>Protective</v>
      </c>
      <c r="AD10" s="7" t="s">
        <v>149</v>
      </c>
      <c r="AE10" s="7" t="str">
        <f aca="false">IF(AD10="A A", "Risk", IF(AD10="G G", "Protective", "Het"))</f>
        <v>Risk</v>
      </c>
      <c r="AF10" s="7" t="s">
        <v>146</v>
      </c>
      <c r="AG10" s="7" t="str">
        <f aca="false">IF(AF10="G G", "Risk", IF(AF10="T T", "Protective", "Het"))</f>
        <v>Risk</v>
      </c>
      <c r="AH10" s="7" t="s">
        <v>150</v>
      </c>
      <c r="AI10" s="7" t="str">
        <f aca="false">IF(AH10="TG TG", "Risk", IF(AH10="T T", "Protective", "Het"))</f>
        <v>Risk</v>
      </c>
      <c r="AJ10" s="7" t="s">
        <v>148</v>
      </c>
      <c r="AK10" s="7" t="str">
        <f aca="false">IF(AJ10="T T", "Risk", IF(AJ10="C C", "Protective", "Het"))</f>
        <v>Protective</v>
      </c>
      <c r="AL10" s="7" t="s">
        <v>146</v>
      </c>
      <c r="AM10" s="7" t="str">
        <f aca="false">IF(AL10="G G", "Risk", IF(AL10="A A", "Protective", "Het"))</f>
        <v>Risk</v>
      </c>
      <c r="AN10" s="7" t="s">
        <v>147</v>
      </c>
      <c r="AO10" s="7" t="str">
        <f aca="false">IF(AN10="T T", "Risk", IF(AN10="C C", "Protective", "Het"))</f>
        <v>Risk</v>
      </c>
      <c r="AP10" s="7" t="s">
        <v>148</v>
      </c>
      <c r="AQ10" s="7" t="str">
        <f aca="false">IF(AP10="C C", "Risk", IF(AP10="T T", "Protective", "Het"))</f>
        <v>Risk</v>
      </c>
      <c r="AR10" s="7" t="s">
        <v>146</v>
      </c>
      <c r="AS10" s="7" t="str">
        <f aca="false">IF(AR10="A A", "Risk", IF(AR10="G G", "Protective", "Het"))</f>
        <v>Protective</v>
      </c>
      <c r="AT10" s="7" t="s">
        <v>149</v>
      </c>
      <c r="AU10" s="7" t="str">
        <f aca="false">IF(AT10="G G", "Risk", IF(AT10="A A", "Protective", "Het"))</f>
        <v>Protective</v>
      </c>
      <c r="AV10" s="7" t="s">
        <v>145</v>
      </c>
      <c r="AW10" s="7" t="str">
        <f aca="false">IF(AV10="G G", "Risk", IF(AV10="A A", "Protective", "Het"))</f>
        <v>Het</v>
      </c>
      <c r="AX10" s="7" t="s">
        <v>148</v>
      </c>
      <c r="AY10" s="7" t="str">
        <f aca="false">IF(AX10="C C", "Risk", IF(AX10="T T", "Protective", "Het"))</f>
        <v>Risk</v>
      </c>
      <c r="AZ10" s="7" t="s">
        <v>148</v>
      </c>
      <c r="BA10" s="7" t="str">
        <f aca="false">IF(AZ10="C C", "Risk", IF(AZ10="T T", "Protective", "Het"))</f>
        <v>Risk</v>
      </c>
      <c r="BB10" s="7" t="s">
        <v>146</v>
      </c>
      <c r="BC10" s="7" t="str">
        <f aca="false">IF(BB10="A A", "Risk", IF(BB10="G G", "Protective", "Het"))</f>
        <v>Protective</v>
      </c>
      <c r="BD10" s="7" t="s">
        <v>146</v>
      </c>
      <c r="BE10" s="7" t="str">
        <f aca="false">IF(BD10="A A", "Risk", IF(BD10="G G", "Protective", "Het"))</f>
        <v>Protective</v>
      </c>
      <c r="BF10" s="7" t="s">
        <v>146</v>
      </c>
      <c r="BG10" s="7" t="str">
        <f aca="false">IF(BF10="G G", "Risk", IF(BF10="A A", "Protective", "Het"))</f>
        <v>Risk</v>
      </c>
      <c r="BH10" s="7" t="s">
        <v>145</v>
      </c>
      <c r="BI10" s="7" t="str">
        <f aca="false">IF(BH10="G G", "Risk", IF(BH10="A A", "Protective", "Het"))</f>
        <v>Het</v>
      </c>
      <c r="BJ10" s="7" t="s">
        <v>146</v>
      </c>
      <c r="BK10" s="7" t="str">
        <f aca="false">IF(BJ10="G G", "Risk", IF(BJ10="T T", "Protective", "Het"))</f>
        <v>Risk</v>
      </c>
      <c r="BL10" s="7" t="s">
        <v>148</v>
      </c>
      <c r="BM10" s="7" t="str">
        <f aca="false">IF(BL10="C C", "Risk", IF(BL10="T T", "Protective", "Het"))</f>
        <v>Risk</v>
      </c>
      <c r="BN10" s="7" t="s">
        <v>151</v>
      </c>
      <c r="BO10" s="7" t="str">
        <f aca="false">IF(BN10="T T", "Risk", IF(BN10="C C", "Protective", "Het"))</f>
        <v>Het</v>
      </c>
      <c r="BP10" s="7" t="s">
        <v>146</v>
      </c>
      <c r="BQ10" s="7" t="str">
        <f aca="false">IF(BP10="A A", "Risk", IF(BP10="G G", "Protective", "Het"))</f>
        <v>Protective</v>
      </c>
      <c r="BR10" s="7" t="s">
        <v>148</v>
      </c>
      <c r="BS10" s="7" t="str">
        <f aca="false">IF(BR10="C C", "Risk", IF(BR10="A A", "Protective", "Het"))</f>
        <v>Risk</v>
      </c>
      <c r="BT10" s="7" t="s">
        <v>151</v>
      </c>
      <c r="BU10" s="7" t="str">
        <f aca="false">IF(BT10="T T", "Risk", IF(BT10="C C", "Protective", "Het"))</f>
        <v>Het</v>
      </c>
      <c r="BV10" s="7" t="s">
        <v>145</v>
      </c>
      <c r="BW10" s="7" t="str">
        <f aca="false">IF(BV10="A A", "Risk", IF(BV10="G G", "Protective", "Het"))</f>
        <v>Het</v>
      </c>
      <c r="BX10" s="7" t="s">
        <v>149</v>
      </c>
      <c r="BY10" s="7" t="str">
        <f aca="false">IF(BX10="A A", "Risk", IF(BX10="G G", "Protective", "Het"))</f>
        <v>Risk</v>
      </c>
      <c r="BZ10" s="7" t="s">
        <v>148</v>
      </c>
      <c r="CA10" s="7" t="str">
        <f aca="false">IF(BZ10="C C", "Risk", IF(BZ10="T T", "Protective", "Het"))</f>
        <v>Risk</v>
      </c>
      <c r="CB10" s="7" t="s">
        <v>146</v>
      </c>
      <c r="CC10" s="7" t="str">
        <f aca="false">IF(CB10="G G", "Risk", IF(CB10="T T", "Protective", "Het"))</f>
        <v>Risk</v>
      </c>
      <c r="CD10" s="7" t="s">
        <v>147</v>
      </c>
      <c r="CE10" s="7" t="str">
        <f aca="false">IF(CD10="T T", "Risk", IF(CD10="A A", "Protective", "Het"))</f>
        <v>Risk</v>
      </c>
      <c r="CF10" s="7" t="s">
        <v>151</v>
      </c>
      <c r="CG10" s="7" t="str">
        <f aca="false">IF(CF10="C C", "Risk", IF(CF10="T T", "Protective", "Het"))</f>
        <v>Het</v>
      </c>
      <c r="CH10" s="7" t="s">
        <v>148</v>
      </c>
      <c r="CI10" s="7" t="s">
        <v>147</v>
      </c>
      <c r="CJ10" s="7" t="str">
        <f aca="false">IF(CI10="T T", "Risk", IF(CI10="C C", "Protective", "Het"))</f>
        <v>Risk</v>
      </c>
      <c r="CK10" s="7" t="s">
        <v>152</v>
      </c>
      <c r="CL10" s="7" t="str">
        <f aca="false">IF(CK10="T T", "Risk", IF(CK10="C C", "Protective", "Het"))</f>
        <v>Het</v>
      </c>
      <c r="CM10" s="7" t="s">
        <v>148</v>
      </c>
      <c r="CN10" s="7" t="str">
        <f aca="false">IF(CM10="T T", "Risk", IF(CM10="C C", "Protective", "Het"))</f>
        <v>Protective</v>
      </c>
      <c r="CO10" s="7" t="s">
        <v>146</v>
      </c>
      <c r="CP10" s="7" t="str">
        <f aca="false">IF(CO10="A A", "Risk", IF(CO10="G G", "Protective", "Het"))</f>
        <v>Protective</v>
      </c>
      <c r="CQ10" s="7" t="s">
        <v>147</v>
      </c>
      <c r="CR10" s="7" t="str">
        <f aca="false">IF(CQ10="T T", "Risk", IF(CQ10="A A", "Protective", "Het"))</f>
        <v>Risk</v>
      </c>
      <c r="CS10" s="7" t="s">
        <v>147</v>
      </c>
      <c r="CT10" s="7" t="str">
        <f aca="false">IF(CS10="T T", "Risk", IF(CS10="C C", "Protective", "Het"))</f>
        <v>Risk</v>
      </c>
      <c r="CU10" s="7" t="s">
        <v>151</v>
      </c>
      <c r="CV10" s="7" t="str">
        <f aca="false">IF(CU10="C C", "Risk", IF(CU10="T T", "Protective", "Het"))</f>
        <v>Het</v>
      </c>
      <c r="CW10" s="7" t="s">
        <v>148</v>
      </c>
      <c r="CX10" s="7" t="str">
        <f aca="false">IF(CW10="G G", "Risk", IF(CW10="C C", "Protective", "Het"))</f>
        <v>Protective</v>
      </c>
      <c r="CY10" s="7" t="s">
        <v>149</v>
      </c>
      <c r="CZ10" s="7" t="str">
        <f aca="false">IF(CY10="A A", "Risk", IF(CY10="G G", "Protective", "Het"))</f>
        <v>Risk</v>
      </c>
      <c r="DA10" s="7" t="s">
        <v>146</v>
      </c>
      <c r="DB10" s="7" t="str">
        <f aca="false">IF(DA10="A A", "Risk", IF(DA10="G G", "Protective", "Het"))</f>
        <v>Protective</v>
      </c>
      <c r="DC10" s="7" t="s">
        <v>148</v>
      </c>
      <c r="DD10" s="7" t="str">
        <f aca="false">IF(DC10="C C", "Risk", IF(DC10="A A", "Protective", "Het"))</f>
        <v>Risk</v>
      </c>
      <c r="DE10" s="7" t="s">
        <v>147</v>
      </c>
      <c r="DF10" s="7" t="str">
        <f aca="false">IF(DE10="T T", "Risk", IF(DE10="C C", "Protective", "Het"))</f>
        <v>Risk</v>
      </c>
      <c r="DG10" s="7" t="s">
        <v>146</v>
      </c>
      <c r="DH10" s="7" t="str">
        <f aca="false">IF(DG10="T T", "Risk", IF(DG10="G G", "Protective", "Het"))</f>
        <v>Protective</v>
      </c>
      <c r="DI10" s="7" t="s">
        <v>147</v>
      </c>
      <c r="DJ10" s="7" t="str">
        <f aca="false">IF(DI10="C C", "Risk", IF(DI10="T T", "Protective", "Het"))</f>
        <v>Protective</v>
      </c>
      <c r="DK10" s="7" t="s">
        <v>149</v>
      </c>
      <c r="DL10" s="7" t="str">
        <f aca="false">IF(DK10="A A", "Risk", IF(DK10="G G", "Protective", "Het"))</f>
        <v>Risk</v>
      </c>
      <c r="DM10" s="7" t="s">
        <v>146</v>
      </c>
      <c r="DN10" s="7" t="str">
        <f aca="false">IF(DM10="C C", "Risk", IF(DM10="G G", "Protective", "Het"))</f>
        <v>Protective</v>
      </c>
      <c r="DO10" s="7" t="s">
        <v>146</v>
      </c>
      <c r="DP10" s="7" t="s">
        <v>148</v>
      </c>
      <c r="DQ10" s="7" t="s">
        <v>147</v>
      </c>
      <c r="DR10" s="7" t="s">
        <v>146</v>
      </c>
      <c r="DS10" s="7" t="s">
        <v>148</v>
      </c>
      <c r="DT10" s="7" t="s">
        <v>148</v>
      </c>
      <c r="DU10" s="7" t="s">
        <v>146</v>
      </c>
      <c r="DV10" s="7" t="s">
        <v>146</v>
      </c>
      <c r="DW10" s="7" t="s">
        <v>148</v>
      </c>
      <c r="DX10" s="7" t="s">
        <v>148</v>
      </c>
      <c r="DY10" s="7" t="s">
        <v>147</v>
      </c>
      <c r="DZ10" s="7" t="s">
        <v>156</v>
      </c>
      <c r="EA10" s="7" t="s">
        <v>146</v>
      </c>
      <c r="EB10" s="7" t="s">
        <v>148</v>
      </c>
      <c r="EC10" s="7" t="s">
        <v>146</v>
      </c>
      <c r="ED10" s="7" t="s">
        <v>145</v>
      </c>
      <c r="EE10" s="7" t="s">
        <v>145</v>
      </c>
      <c r="EF10" s="0"/>
    </row>
    <row r="11" s="7" customFormat="true" ht="15" hidden="false" customHeight="false" outlineLevel="0" collapsed="false">
      <c r="A11" s="7" t="s">
        <v>135</v>
      </c>
      <c r="E11" s="2" t="s">
        <v>136</v>
      </c>
      <c r="F11" s="2" t="s">
        <v>136</v>
      </c>
      <c r="G11" s="7" t="s">
        <v>175</v>
      </c>
      <c r="H11" s="2" t="s">
        <v>138</v>
      </c>
      <c r="I11" s="7" t="n">
        <v>33</v>
      </c>
      <c r="J11" s="2"/>
      <c r="K11" s="2" t="s">
        <v>139</v>
      </c>
      <c r="L11" s="11" t="n">
        <v>1.52</v>
      </c>
      <c r="M11" s="12" t="s">
        <v>140</v>
      </c>
      <c r="N11" s="12" t="s">
        <v>159</v>
      </c>
      <c r="O11" s="12" t="n">
        <v>6.37</v>
      </c>
      <c r="P11" s="12" t="n">
        <v>5</v>
      </c>
      <c r="Q11" s="12" t="n">
        <v>17.5</v>
      </c>
      <c r="R11" s="7" t="s">
        <v>168</v>
      </c>
      <c r="S11" s="7" t="s">
        <v>169</v>
      </c>
      <c r="T11" s="7" t="s">
        <v>149</v>
      </c>
      <c r="U11" s="7" t="str">
        <f aca="false">IF(T11="G G", "Risk", IF(T11="A A", "Protective", "Het"))</f>
        <v>Protective</v>
      </c>
      <c r="V11" s="7" t="s">
        <v>146</v>
      </c>
      <c r="W11" s="7" t="str">
        <f aca="false">IF(V11="G G", "Risk", IF(V11="A A", "Protective", "Het"))</f>
        <v>Risk</v>
      </c>
      <c r="X11" s="7" t="s">
        <v>148</v>
      </c>
      <c r="Y11" s="7" t="str">
        <f aca="false">IF(X11="T T", "Risk", IF(X11="C C", "Protective", "Het"))</f>
        <v>Protective</v>
      </c>
      <c r="Z11" s="7" t="s">
        <v>146</v>
      </c>
      <c r="AA11" s="7" t="str">
        <f aca="false">IF(Z11="G G", "Risk", IF(Z11="A A", "Protective", "Het"))</f>
        <v>Risk</v>
      </c>
      <c r="AB11" s="7" t="s">
        <v>148</v>
      </c>
      <c r="AC11" s="7" t="str">
        <f aca="false">IF(AB11="T T", "Risk", IF(AB11="C C", "Protective", "Het"))</f>
        <v>Protective</v>
      </c>
      <c r="AD11" s="7" t="s">
        <v>154</v>
      </c>
      <c r="AE11" s="7" t="str">
        <f aca="false">IF(AD11="A A", "Risk", IF(AD11="G G", "Protective", "Het"))</f>
        <v>Het</v>
      </c>
      <c r="AF11" s="7" t="s">
        <v>146</v>
      </c>
      <c r="AG11" s="7" t="str">
        <f aca="false">IF(AF11="G G", "Risk", IF(AF11="T T", "Protective", "Het"))</f>
        <v>Risk</v>
      </c>
      <c r="AH11" s="7" t="s">
        <v>150</v>
      </c>
      <c r="AI11" s="7" t="str">
        <f aca="false">IF(AH11="TG TG", "Risk", IF(AH11="T T", "Protective", "Het"))</f>
        <v>Risk</v>
      </c>
      <c r="AJ11" s="7" t="s">
        <v>148</v>
      </c>
      <c r="AK11" s="7" t="str">
        <f aca="false">IF(AJ11="T T", "Risk", IF(AJ11="C C", "Protective", "Het"))</f>
        <v>Protective</v>
      </c>
      <c r="AL11" s="7" t="s">
        <v>146</v>
      </c>
      <c r="AM11" s="7" t="str">
        <f aca="false">IF(AL11="G G", "Risk", IF(AL11="A A", "Protective", "Het"))</f>
        <v>Risk</v>
      </c>
      <c r="AN11" s="7" t="s">
        <v>147</v>
      </c>
      <c r="AO11" s="7" t="str">
        <f aca="false">IF(AN11="T T", "Risk", IF(AN11="C C", "Protective", "Het"))</f>
        <v>Risk</v>
      </c>
      <c r="AP11" s="7" t="s">
        <v>152</v>
      </c>
      <c r="AQ11" s="7" t="str">
        <f aca="false">IF(AP11="C C", "Risk", IF(AP11="T T", "Protective", "Het"))</f>
        <v>Het</v>
      </c>
      <c r="AR11" s="7" t="s">
        <v>145</v>
      </c>
      <c r="AS11" s="7" t="str">
        <f aca="false">IF(AR11="A A", "Risk", IF(AR11="G G", "Protective", "Het"))</f>
        <v>Het</v>
      </c>
      <c r="AT11" s="7" t="s">
        <v>149</v>
      </c>
      <c r="AU11" s="7" t="str">
        <f aca="false">IF(AT11="G G", "Risk", IF(AT11="A A", "Protective", "Het"))</f>
        <v>Protective</v>
      </c>
      <c r="AV11" s="7" t="s">
        <v>145</v>
      </c>
      <c r="AW11" s="7" t="str">
        <f aca="false">IF(AV11="G G", "Risk", IF(AV11="A A", "Protective", "Het"))</f>
        <v>Het</v>
      </c>
      <c r="AX11" s="7" t="s">
        <v>152</v>
      </c>
      <c r="AY11" s="7" t="str">
        <f aca="false">IF(AX11="C C", "Risk", IF(AX11="T T", "Protective", "Het"))</f>
        <v>Het</v>
      </c>
      <c r="AZ11" s="7" t="s">
        <v>148</v>
      </c>
      <c r="BA11" s="7" t="str">
        <f aca="false">IF(AZ11="C C", "Risk", IF(AZ11="T T", "Protective", "Het"))</f>
        <v>Risk</v>
      </c>
      <c r="BB11" s="7" t="s">
        <v>145</v>
      </c>
      <c r="BC11" s="7" t="str">
        <f aca="false">IF(BB11="A A", "Risk", IF(BB11="G G", "Protective", "Het"))</f>
        <v>Het</v>
      </c>
      <c r="BD11" s="7" t="s">
        <v>146</v>
      </c>
      <c r="BE11" s="7" t="str">
        <f aca="false">IF(BD11="A A", "Risk", IF(BD11="G G", "Protective", "Het"))</f>
        <v>Protective</v>
      </c>
      <c r="BF11" s="7" t="s">
        <v>146</v>
      </c>
      <c r="BG11" s="7" t="str">
        <f aca="false">IF(BF11="G G", "Risk", IF(BF11="A A", "Protective", "Het"))</f>
        <v>Risk</v>
      </c>
      <c r="BH11" s="7" t="s">
        <v>149</v>
      </c>
      <c r="BI11" s="7" t="str">
        <f aca="false">IF(BH11="G G", "Risk", IF(BH11="A A", "Protective", "Het"))</f>
        <v>Protective</v>
      </c>
      <c r="BJ11" s="7" t="s">
        <v>153</v>
      </c>
      <c r="BK11" s="7" t="str">
        <f aca="false">IF(BJ11="G G", "Risk", IF(BJ11="T T", "Protective", "Het"))</f>
        <v>Het</v>
      </c>
      <c r="BL11" s="7" t="s">
        <v>148</v>
      </c>
      <c r="BM11" s="7" t="str">
        <f aca="false">IF(BL11="C C", "Risk", IF(BL11="T T", "Protective", "Het"))</f>
        <v>Risk</v>
      </c>
      <c r="BN11" s="7" t="s">
        <v>147</v>
      </c>
      <c r="BO11" s="7" t="str">
        <f aca="false">IF(BN11="T T", "Risk", IF(BN11="C C", "Protective", "Het"))</f>
        <v>Risk</v>
      </c>
      <c r="BP11" s="7" t="s">
        <v>145</v>
      </c>
      <c r="BQ11" s="7" t="str">
        <f aca="false">IF(BP11="A A", "Risk", IF(BP11="G G", "Protective", "Het"))</f>
        <v>Het</v>
      </c>
      <c r="BR11" s="7" t="s">
        <v>148</v>
      </c>
      <c r="BS11" s="7" t="str">
        <f aca="false">IF(BR11="C C", "Risk", IF(BR11="A A", "Protective", "Het"))</f>
        <v>Risk</v>
      </c>
      <c r="BT11" s="7" t="s">
        <v>151</v>
      </c>
      <c r="BU11" s="7" t="str">
        <f aca="false">IF(BT11="T T", "Risk", IF(BT11="C C", "Protective", "Het"))</f>
        <v>Het</v>
      </c>
      <c r="BV11" s="7" t="s">
        <v>146</v>
      </c>
      <c r="BW11" s="7" t="str">
        <f aca="false">IF(BV11="A A", "Risk", IF(BV11="G G", "Protective", "Het"))</f>
        <v>Protective</v>
      </c>
      <c r="BX11" s="7" t="s">
        <v>149</v>
      </c>
      <c r="BY11" s="7" t="str">
        <f aca="false">IF(BX11="A A", "Risk", IF(BX11="G G", "Protective", "Het"))</f>
        <v>Risk</v>
      </c>
      <c r="BZ11" s="7" t="s">
        <v>148</v>
      </c>
      <c r="CA11" s="7" t="str">
        <f aca="false">IF(BZ11="C C", "Risk", IF(BZ11="T T", "Protective", "Het"))</f>
        <v>Risk</v>
      </c>
      <c r="CB11" s="7" t="s">
        <v>146</v>
      </c>
      <c r="CC11" s="7" t="str">
        <f aca="false">IF(CB11="G G", "Risk", IF(CB11="T T", "Protective", "Het"))</f>
        <v>Risk</v>
      </c>
      <c r="CD11" s="7" t="s">
        <v>156</v>
      </c>
      <c r="CE11" s="7" t="str">
        <f aca="false">IF(CD11="T T", "Risk", IF(CD11="A A", "Protective", "Het"))</f>
        <v>Het</v>
      </c>
      <c r="CF11" s="7" t="s">
        <v>151</v>
      </c>
      <c r="CG11" s="7" t="str">
        <f aca="false">IF(CF11="C C", "Risk", IF(CF11="T T", "Protective", "Het"))</f>
        <v>Het</v>
      </c>
      <c r="CH11" s="7" t="s">
        <v>148</v>
      </c>
      <c r="CI11" s="7" t="s">
        <v>147</v>
      </c>
      <c r="CJ11" s="7" t="str">
        <f aca="false">IF(CI11="T T", "Risk", IF(CI11="C C", "Protective", "Het"))</f>
        <v>Risk</v>
      </c>
      <c r="CK11" s="7" t="s">
        <v>152</v>
      </c>
      <c r="CL11" s="7" t="str">
        <f aca="false">IF(CK11="T T", "Risk", IF(CK11="C C", "Protective", "Het"))</f>
        <v>Het</v>
      </c>
      <c r="CM11" s="7" t="s">
        <v>148</v>
      </c>
      <c r="CN11" s="7" t="str">
        <f aca="false">IF(CM11="T T", "Risk", IF(CM11="C C", "Protective", "Het"))</f>
        <v>Protective</v>
      </c>
      <c r="CO11" s="7" t="s">
        <v>146</v>
      </c>
      <c r="CP11" s="7" t="str">
        <f aca="false">IF(CO11="A A", "Risk", IF(CO11="G G", "Protective", "Het"))</f>
        <v>Protective</v>
      </c>
      <c r="CQ11" s="7" t="s">
        <v>147</v>
      </c>
      <c r="CR11" s="7" t="str">
        <f aca="false">IF(CQ11="T T", "Risk", IF(CQ11="A A", "Protective", "Het"))</f>
        <v>Risk</v>
      </c>
      <c r="CS11" s="7" t="s">
        <v>147</v>
      </c>
      <c r="CT11" s="7" t="str">
        <f aca="false">IF(CS11="T T", "Risk", IF(CS11="C C", "Protective", "Het"))</f>
        <v>Risk</v>
      </c>
      <c r="CU11" s="7" t="s">
        <v>147</v>
      </c>
      <c r="CV11" s="7" t="str">
        <f aca="false">IF(CU11="C C", "Risk", IF(CU11="T T", "Protective", "Het"))</f>
        <v>Protective</v>
      </c>
      <c r="CW11" s="7" t="s">
        <v>148</v>
      </c>
      <c r="CX11" s="7" t="str">
        <f aca="false">IF(CW11="G G", "Risk", IF(CW11="C C", "Protective", "Het"))</f>
        <v>Protective</v>
      </c>
      <c r="CY11" s="7" t="s">
        <v>149</v>
      </c>
      <c r="CZ11" s="7" t="str">
        <f aca="false">IF(CY11="A A", "Risk", IF(CY11="G G", "Protective", "Het"))</f>
        <v>Risk</v>
      </c>
      <c r="DA11" s="7" t="s">
        <v>146</v>
      </c>
      <c r="DB11" s="7" t="str">
        <f aca="false">IF(DA11="A A", "Risk", IF(DA11="G G", "Protective", "Het"))</f>
        <v>Protective</v>
      </c>
      <c r="DC11" s="7" t="s">
        <v>148</v>
      </c>
      <c r="DD11" s="7" t="str">
        <f aca="false">IF(DC11="C C", "Risk", IF(DC11="A A", "Protective", "Het"))</f>
        <v>Risk</v>
      </c>
      <c r="DE11" s="7" t="s">
        <v>147</v>
      </c>
      <c r="DF11" s="7" t="str">
        <f aca="false">IF(DE11="T T", "Risk", IF(DE11="C C", "Protective", "Het"))</f>
        <v>Risk</v>
      </c>
      <c r="DG11" s="7" t="s">
        <v>146</v>
      </c>
      <c r="DH11" s="7" t="str">
        <f aca="false">IF(DG11="T T", "Risk", IF(DG11="G G", "Protective", "Het"))</f>
        <v>Protective</v>
      </c>
      <c r="DI11" s="7" t="s">
        <v>147</v>
      </c>
      <c r="DJ11" s="7" t="str">
        <f aca="false">IF(DI11="C C", "Risk", IF(DI11="T T", "Protective", "Het"))</f>
        <v>Protective</v>
      </c>
      <c r="DK11" s="7" t="s">
        <v>145</v>
      </c>
      <c r="DL11" s="7" t="str">
        <f aca="false">IF(DK11="A A", "Risk", IF(DK11="G G", "Protective", "Het"))</f>
        <v>Het</v>
      </c>
      <c r="DM11" s="7" t="s">
        <v>146</v>
      </c>
      <c r="DN11" s="7" t="str">
        <f aca="false">IF(DM11="C C", "Risk", IF(DM11="G G", "Protective", "Het"))</f>
        <v>Protective</v>
      </c>
      <c r="DO11" s="7" t="s">
        <v>145</v>
      </c>
      <c r="DP11" s="7" t="s">
        <v>148</v>
      </c>
      <c r="DQ11" s="7" t="s">
        <v>147</v>
      </c>
      <c r="DR11" s="7" t="s">
        <v>146</v>
      </c>
      <c r="DS11" s="7" t="s">
        <v>152</v>
      </c>
      <c r="DT11" s="7" t="s">
        <v>148</v>
      </c>
      <c r="DU11" s="7" t="s">
        <v>146</v>
      </c>
      <c r="DV11" s="7" t="s">
        <v>146</v>
      </c>
      <c r="DW11" s="7" t="s">
        <v>148</v>
      </c>
      <c r="DX11" s="7" t="s">
        <v>160</v>
      </c>
      <c r="DY11" s="7" t="s">
        <v>147</v>
      </c>
      <c r="DZ11" s="7" t="s">
        <v>149</v>
      </c>
      <c r="EA11" s="7" t="s">
        <v>146</v>
      </c>
      <c r="EB11" s="7" t="s">
        <v>148</v>
      </c>
      <c r="EC11" s="7" t="s">
        <v>146</v>
      </c>
      <c r="ED11" s="7" t="s">
        <v>146</v>
      </c>
      <c r="EE11" s="7" t="s">
        <v>146</v>
      </c>
      <c r="EF11" s="0"/>
    </row>
    <row r="12" s="7" customFormat="true" ht="15" hidden="false" customHeight="false" outlineLevel="0" collapsed="false">
      <c r="E12" s="2" t="n">
        <v>20005</v>
      </c>
      <c r="F12" s="2" t="s">
        <v>176</v>
      </c>
      <c r="G12" s="2" t="s">
        <v>177</v>
      </c>
      <c r="H12" s="2"/>
      <c r="I12" s="2"/>
      <c r="J12" s="2"/>
      <c r="K12" s="2" t="s">
        <v>178</v>
      </c>
      <c r="L12" s="12" t="n">
        <v>11.25</v>
      </c>
      <c r="M12" s="12" t="s">
        <v>158</v>
      </c>
      <c r="N12" s="12" t="s">
        <v>159</v>
      </c>
      <c r="O12" s="12" t="n">
        <v>0.69</v>
      </c>
      <c r="P12" s="12" t="s">
        <v>142</v>
      </c>
      <c r="Q12" s="12" t="n">
        <v>16.2</v>
      </c>
      <c r="R12" s="7" t="s">
        <v>168</v>
      </c>
      <c r="EF12" s="0"/>
    </row>
    <row r="13" s="7" customFormat="true" ht="15" hidden="false" customHeight="false" outlineLevel="0" collapsed="false">
      <c r="B13" s="7" t="s">
        <v>135</v>
      </c>
      <c r="E13" s="2" t="n">
        <v>20006</v>
      </c>
      <c r="F13" s="2" t="s">
        <v>179</v>
      </c>
      <c r="G13" s="2" t="s">
        <v>136</v>
      </c>
      <c r="H13" s="2" t="s">
        <v>166</v>
      </c>
      <c r="I13" s="2"/>
      <c r="J13" s="2" t="n">
        <v>2</v>
      </c>
      <c r="K13" s="2" t="s">
        <v>139</v>
      </c>
      <c r="L13" s="2" t="n">
        <v>21</v>
      </c>
      <c r="M13" s="12" t="s">
        <v>140</v>
      </c>
      <c r="N13" s="7" t="s">
        <v>141</v>
      </c>
      <c r="O13" s="12" t="s">
        <v>142</v>
      </c>
      <c r="P13" s="12" t="s">
        <v>142</v>
      </c>
      <c r="Q13" s="2" t="n">
        <v>37.1</v>
      </c>
      <c r="R13" s="7" t="s">
        <v>168</v>
      </c>
      <c r="EF13" s="0"/>
    </row>
    <row r="14" s="7" customFormat="true" ht="15" hidden="false" customHeight="false" outlineLevel="0" collapsed="false">
      <c r="B14" s="7" t="s">
        <v>135</v>
      </c>
      <c r="E14" s="2" t="n">
        <v>20007</v>
      </c>
      <c r="F14" s="2" t="s">
        <v>180</v>
      </c>
      <c r="G14" s="2" t="s">
        <v>136</v>
      </c>
      <c r="H14" s="2" t="s">
        <v>166</v>
      </c>
      <c r="I14" s="2"/>
      <c r="J14" s="2" t="n">
        <v>2</v>
      </c>
      <c r="K14" s="2" t="s">
        <v>139</v>
      </c>
      <c r="L14" s="2" t="n">
        <v>20</v>
      </c>
      <c r="M14" s="12" t="s">
        <v>158</v>
      </c>
      <c r="N14" s="12" t="s">
        <v>159</v>
      </c>
      <c r="O14" s="12" t="s">
        <v>142</v>
      </c>
      <c r="P14" s="12" t="s">
        <v>142</v>
      </c>
      <c r="Q14" s="2" t="n">
        <v>28.8</v>
      </c>
      <c r="R14" s="7" t="s">
        <v>168</v>
      </c>
      <c r="EF14" s="0"/>
    </row>
    <row r="15" s="7" customFormat="true" ht="15" hidden="false" customHeight="false" outlineLevel="0" collapsed="false">
      <c r="A15" s="8" t="s">
        <v>181</v>
      </c>
      <c r="E15" s="2" t="s">
        <v>136</v>
      </c>
      <c r="F15" s="2" t="s">
        <v>136</v>
      </c>
      <c r="G15" s="7" t="s">
        <v>182</v>
      </c>
      <c r="H15" s="2" t="s">
        <v>138</v>
      </c>
      <c r="I15" s="7" t="n">
        <v>25</v>
      </c>
      <c r="J15" s="2"/>
      <c r="K15" s="2" t="s">
        <v>139</v>
      </c>
      <c r="L15" s="12" t="n">
        <v>10</v>
      </c>
      <c r="M15" s="12" t="s">
        <v>140</v>
      </c>
      <c r="N15" s="12" t="s">
        <v>183</v>
      </c>
      <c r="O15" s="12" t="n">
        <v>22.14</v>
      </c>
      <c r="P15" s="12" t="n">
        <v>5.5</v>
      </c>
      <c r="Q15" s="12" t="n">
        <v>25.44</v>
      </c>
      <c r="R15" s="7" t="s">
        <v>168</v>
      </c>
      <c r="S15" s="7" t="s">
        <v>169</v>
      </c>
      <c r="T15" s="7" t="s">
        <v>146</v>
      </c>
      <c r="U15" s="7" t="str">
        <f aca="false">IF(T15="G G", "Risk", IF(T15="A A", "Protective", "Het"))</f>
        <v>Risk</v>
      </c>
      <c r="V15" s="7" t="s">
        <v>146</v>
      </c>
      <c r="W15" s="7" t="str">
        <f aca="false">IF(V15="G G", "Risk", IF(V15="A A", "Protective", "Het"))</f>
        <v>Risk</v>
      </c>
      <c r="X15" s="7" t="s">
        <v>152</v>
      </c>
      <c r="Y15" s="7" t="str">
        <f aca="false">IF(X15="T T", "Risk", IF(X15="C C", "Protective", "Het"))</f>
        <v>Het</v>
      </c>
      <c r="Z15" s="7" t="s">
        <v>146</v>
      </c>
      <c r="AA15" s="7" t="str">
        <f aca="false">IF(Z15="G G", "Risk", IF(Z15="A A", "Protective", "Het"))</f>
        <v>Risk</v>
      </c>
      <c r="AB15" s="7" t="s">
        <v>148</v>
      </c>
      <c r="AC15" s="7" t="str">
        <f aca="false">IF(AB15="T T", "Risk", IF(AB15="C C", "Protective", "Het"))</f>
        <v>Protective</v>
      </c>
      <c r="AD15" s="7" t="s">
        <v>154</v>
      </c>
      <c r="AE15" s="7" t="str">
        <f aca="false">IF(AD15="A A", "Risk", IF(AD15="G G", "Protective", "Het"))</f>
        <v>Het</v>
      </c>
      <c r="AF15" s="7" t="s">
        <v>146</v>
      </c>
      <c r="AG15" s="7" t="str">
        <f aca="false">IF(AF15="G G", "Risk", IF(AF15="T T", "Protective", "Het"))</f>
        <v>Risk</v>
      </c>
      <c r="AH15" s="7" t="s">
        <v>150</v>
      </c>
      <c r="AI15" s="7" t="str">
        <f aca="false">IF(AH15="TG TG", "Risk", IF(AH15="T T", "Protective", "Het"))</f>
        <v>Risk</v>
      </c>
      <c r="AJ15" s="7" t="s">
        <v>148</v>
      </c>
      <c r="AK15" s="7" t="str">
        <f aca="false">IF(AJ15="T T", "Risk", IF(AJ15="C C", "Protective", "Het"))</f>
        <v>Protective</v>
      </c>
      <c r="AL15" s="7" t="s">
        <v>146</v>
      </c>
      <c r="AM15" s="7" t="str">
        <f aca="false">IF(AL15="G G", "Risk", IF(AL15="A A", "Protective", "Het"))</f>
        <v>Risk</v>
      </c>
      <c r="AN15" s="7" t="s">
        <v>151</v>
      </c>
      <c r="AO15" s="7" t="str">
        <f aca="false">IF(AN15="T T", "Risk", IF(AN15="C C", "Protective", "Het"))</f>
        <v>Het</v>
      </c>
      <c r="AP15" s="7" t="s">
        <v>148</v>
      </c>
      <c r="AQ15" s="7" t="str">
        <f aca="false">IF(AP15="C C", "Risk", IF(AP15="T T", "Protective", "Het"))</f>
        <v>Risk</v>
      </c>
      <c r="AR15" s="7" t="s">
        <v>146</v>
      </c>
      <c r="AS15" s="7" t="str">
        <f aca="false">IF(AR15="A A", "Risk", IF(AR15="G G", "Protective", "Het"))</f>
        <v>Protective</v>
      </c>
      <c r="AT15" s="7" t="s">
        <v>149</v>
      </c>
      <c r="AU15" s="7" t="str">
        <f aca="false">IF(AT15="G G", "Risk", IF(AT15="A A", "Protective", "Het"))</f>
        <v>Protective</v>
      </c>
      <c r="AV15" s="7" t="s">
        <v>145</v>
      </c>
      <c r="AW15" s="7" t="str">
        <f aca="false">IF(AV15="G G", "Risk", IF(AV15="A A", "Protective", "Het"))</f>
        <v>Het</v>
      </c>
      <c r="AX15" s="7" t="s">
        <v>152</v>
      </c>
      <c r="AY15" s="7" t="str">
        <f aca="false">IF(AX15="C C", "Risk", IF(AX15="T T", "Protective", "Het"))</f>
        <v>Het</v>
      </c>
      <c r="AZ15" s="7" t="s">
        <v>152</v>
      </c>
      <c r="BA15" s="7" t="str">
        <f aca="false">IF(AZ15="C C", "Risk", IF(AZ15="T T", "Protective", "Het"))</f>
        <v>Het</v>
      </c>
      <c r="BB15" s="7" t="s">
        <v>146</v>
      </c>
      <c r="BC15" s="7" t="str">
        <f aca="false">IF(BB15="A A", "Risk", IF(BB15="G G", "Protective", "Het"))</f>
        <v>Protective</v>
      </c>
      <c r="BD15" s="7" t="s">
        <v>146</v>
      </c>
      <c r="BE15" s="7" t="str">
        <f aca="false">IF(BD15="A A", "Risk", IF(BD15="G G", "Protective", "Het"))</f>
        <v>Protective</v>
      </c>
      <c r="BF15" s="7" t="s">
        <v>145</v>
      </c>
      <c r="BG15" s="7" t="str">
        <f aca="false">IF(BF15="G G", "Risk", IF(BF15="A A", "Protective", "Het"))</f>
        <v>Het</v>
      </c>
      <c r="BH15" s="7" t="s">
        <v>145</v>
      </c>
      <c r="BI15" s="7" t="str">
        <f aca="false">IF(BH15="G G", "Risk", IF(BH15="A A", "Protective", "Het"))</f>
        <v>Het</v>
      </c>
      <c r="BJ15" s="7" t="s">
        <v>147</v>
      </c>
      <c r="BK15" s="7" t="str">
        <f aca="false">IF(BJ15="G G", "Risk", IF(BJ15="T T", "Protective", "Het"))</f>
        <v>Protective</v>
      </c>
      <c r="BL15" s="7" t="s">
        <v>148</v>
      </c>
      <c r="BM15" s="7" t="str">
        <f aca="false">IF(BL15="C C", "Risk", IF(BL15="T T", "Protective", "Het"))</f>
        <v>Risk</v>
      </c>
      <c r="BN15" s="7" t="s">
        <v>147</v>
      </c>
      <c r="BO15" s="7" t="str">
        <f aca="false">IF(BN15="T T", "Risk", IF(BN15="C C", "Protective", "Het"))</f>
        <v>Risk</v>
      </c>
      <c r="BP15" s="7" t="s">
        <v>145</v>
      </c>
      <c r="BQ15" s="7" t="str">
        <f aca="false">IF(BP15="A A", "Risk", IF(BP15="G G", "Protective", "Het"))</f>
        <v>Het</v>
      </c>
      <c r="BR15" s="7" t="s">
        <v>160</v>
      </c>
      <c r="BS15" s="7" t="str">
        <f aca="false">IF(BR15="C C", "Risk", IF(BR15="A A", "Protective", "Het"))</f>
        <v>Het</v>
      </c>
      <c r="BT15" s="7" t="s">
        <v>148</v>
      </c>
      <c r="BU15" s="7" t="str">
        <f aca="false">IF(BT15="T T", "Risk", IF(BT15="C C", "Protective", "Het"))</f>
        <v>Protective</v>
      </c>
      <c r="BV15" s="7" t="s">
        <v>146</v>
      </c>
      <c r="BW15" s="7" t="str">
        <f aca="false">IF(BV15="A A", "Risk", IF(BV15="G G", "Protective", "Het"))</f>
        <v>Protective</v>
      </c>
      <c r="BX15" s="7" t="s">
        <v>149</v>
      </c>
      <c r="BY15" s="7" t="str">
        <f aca="false">IF(BX15="A A", "Risk", IF(BX15="G G", "Protective", "Het"))</f>
        <v>Risk</v>
      </c>
      <c r="BZ15" s="7" t="s">
        <v>148</v>
      </c>
      <c r="CA15" s="7" t="str">
        <f aca="false">IF(BZ15="C C", "Risk", IF(BZ15="T T", "Protective", "Het"))</f>
        <v>Risk</v>
      </c>
      <c r="CB15" s="7" t="s">
        <v>146</v>
      </c>
      <c r="CC15" s="7" t="str">
        <f aca="false">IF(CB15="G G", "Risk", IF(CB15="T T", "Protective", "Het"))</f>
        <v>Risk</v>
      </c>
      <c r="CD15" s="7" t="s">
        <v>156</v>
      </c>
      <c r="CE15" s="7" t="str">
        <f aca="false">IF(CD15="T T", "Risk", IF(CD15="A A", "Protective", "Het"))</f>
        <v>Het</v>
      </c>
      <c r="CF15" s="7" t="s">
        <v>151</v>
      </c>
      <c r="CG15" s="7" t="str">
        <f aca="false">IF(CF15="C C", "Risk", IF(CF15="T T", "Protective", "Het"))</f>
        <v>Het</v>
      </c>
      <c r="CH15" s="7" t="s">
        <v>148</v>
      </c>
      <c r="CI15" s="7" t="s">
        <v>147</v>
      </c>
      <c r="CJ15" s="7" t="str">
        <f aca="false">IF(CI15="T T", "Risk", IF(CI15="C C", "Protective", "Het"))</f>
        <v>Risk</v>
      </c>
      <c r="CK15" s="7" t="s">
        <v>148</v>
      </c>
      <c r="CL15" s="7" t="str">
        <f aca="false">IF(CK15="T T", "Risk", IF(CK15="C C", "Protective", "Het"))</f>
        <v>Protective</v>
      </c>
      <c r="CM15" s="7" t="s">
        <v>148</v>
      </c>
      <c r="CN15" s="7" t="str">
        <f aca="false">IF(CM15="T T", "Risk", IF(CM15="C C", "Protective", "Het"))</f>
        <v>Protective</v>
      </c>
      <c r="CO15" s="7" t="s">
        <v>145</v>
      </c>
      <c r="CP15" s="7" t="str">
        <f aca="false">IF(CO15="A A", "Risk", IF(CO15="G G", "Protective", "Het"))</f>
        <v>Het</v>
      </c>
      <c r="CQ15" s="7" t="s">
        <v>147</v>
      </c>
      <c r="CR15" s="7" t="str">
        <f aca="false">IF(CQ15="T T", "Risk", IF(CQ15="A A", "Protective", "Het"))</f>
        <v>Risk</v>
      </c>
      <c r="CS15" s="7" t="s">
        <v>147</v>
      </c>
      <c r="CT15" s="7" t="str">
        <f aca="false">IF(CS15="T T", "Risk", IF(CS15="C C", "Protective", "Het"))</f>
        <v>Risk</v>
      </c>
      <c r="CU15" s="7" t="s">
        <v>151</v>
      </c>
      <c r="CV15" s="7" t="str">
        <f aca="false">IF(CU15="C C", "Risk", IF(CU15="T T", "Protective", "Het"))</f>
        <v>Het</v>
      </c>
      <c r="CW15" s="7" t="s">
        <v>162</v>
      </c>
      <c r="CX15" s="7" t="str">
        <f aca="false">IF(CW15="G G", "Risk", IF(CW15="C C", "Protective", "Het"))</f>
        <v>Het</v>
      </c>
      <c r="CY15" s="7" t="s">
        <v>149</v>
      </c>
      <c r="CZ15" s="7" t="str">
        <f aca="false">IF(CY15="A A", "Risk", IF(CY15="G G", "Protective", "Het"))</f>
        <v>Risk</v>
      </c>
      <c r="DA15" s="7" t="s">
        <v>149</v>
      </c>
      <c r="DB15" s="7" t="str">
        <f aca="false">IF(DA15="A A", "Risk", IF(DA15="G G", "Protective", "Het"))</f>
        <v>Risk</v>
      </c>
      <c r="DC15" s="7" t="s">
        <v>148</v>
      </c>
      <c r="DD15" s="7" t="str">
        <f aca="false">IF(DC15="C C", "Risk", IF(DC15="A A", "Protective", "Het"))</f>
        <v>Risk</v>
      </c>
      <c r="DE15" s="7" t="s">
        <v>147</v>
      </c>
      <c r="DF15" s="7" t="str">
        <f aca="false">IF(DE15="T T", "Risk", IF(DE15="C C", "Protective", "Het"))</f>
        <v>Risk</v>
      </c>
      <c r="DG15" s="7" t="s">
        <v>146</v>
      </c>
      <c r="DH15" s="7" t="str">
        <f aca="false">IF(DG15="T T", "Risk", IF(DG15="G G", "Protective", "Het"))</f>
        <v>Protective</v>
      </c>
      <c r="DI15" s="7" t="s">
        <v>151</v>
      </c>
      <c r="DJ15" s="7" t="str">
        <f aca="false">IF(DI15="C C", "Risk", IF(DI15="T T", "Protective", "Het"))</f>
        <v>Het</v>
      </c>
      <c r="DK15" s="7" t="s">
        <v>146</v>
      </c>
      <c r="DL15" s="7" t="str">
        <f aca="false">IF(DK15="A A", "Risk", IF(DK15="G G", "Protective", "Het"))</f>
        <v>Protective</v>
      </c>
      <c r="DM15" s="7" t="s">
        <v>146</v>
      </c>
      <c r="DN15" s="7" t="str">
        <f aca="false">IF(DM15="C C", "Risk", IF(DM15="G G", "Protective", "Het"))</f>
        <v>Protective</v>
      </c>
      <c r="DO15" s="7" t="s">
        <v>146</v>
      </c>
      <c r="DP15" s="7" t="s">
        <v>148</v>
      </c>
      <c r="DQ15" s="7" t="s">
        <v>147</v>
      </c>
      <c r="DR15" s="7" t="s">
        <v>146</v>
      </c>
      <c r="DS15" s="7" t="s">
        <v>148</v>
      </c>
      <c r="DT15" s="7" t="s">
        <v>148</v>
      </c>
      <c r="DU15" s="7" t="s">
        <v>145</v>
      </c>
      <c r="DV15" s="7" t="s">
        <v>146</v>
      </c>
      <c r="DW15" s="7" t="s">
        <v>148</v>
      </c>
      <c r="DX15" s="7" t="s">
        <v>148</v>
      </c>
      <c r="DY15" s="7" t="s">
        <v>147</v>
      </c>
      <c r="DZ15" s="7" t="s">
        <v>149</v>
      </c>
      <c r="EA15" s="7" t="s">
        <v>145</v>
      </c>
      <c r="EB15" s="7" t="s">
        <v>148</v>
      </c>
      <c r="EC15" s="7" t="s">
        <v>153</v>
      </c>
      <c r="ED15" s="7" t="s">
        <v>146</v>
      </c>
      <c r="EE15" s="7" t="s">
        <v>146</v>
      </c>
      <c r="EF15" s="0"/>
    </row>
    <row r="16" s="7" customFormat="true" ht="15" hidden="false" customHeight="false" outlineLevel="0" collapsed="false">
      <c r="A16" s="8" t="s">
        <v>181</v>
      </c>
      <c r="E16" s="2" t="s">
        <v>136</v>
      </c>
      <c r="F16" s="2" t="s">
        <v>136</v>
      </c>
      <c r="G16" s="7" t="s">
        <v>184</v>
      </c>
      <c r="H16" s="2" t="s">
        <v>138</v>
      </c>
      <c r="I16" s="7" t="n">
        <v>25</v>
      </c>
      <c r="J16" s="2"/>
      <c r="K16" s="2" t="s">
        <v>139</v>
      </c>
      <c r="L16" s="12" t="n">
        <v>8</v>
      </c>
      <c r="M16" s="12" t="s">
        <v>158</v>
      </c>
      <c r="N16" s="12" t="s">
        <v>183</v>
      </c>
      <c r="O16" s="12" t="n">
        <v>4.61</v>
      </c>
      <c r="P16" s="12" t="n">
        <v>5.8</v>
      </c>
      <c r="Q16" s="12" t="n">
        <v>16</v>
      </c>
      <c r="R16" s="7" t="s">
        <v>168</v>
      </c>
      <c r="S16" s="7" t="s">
        <v>169</v>
      </c>
      <c r="T16" s="7" t="s">
        <v>145</v>
      </c>
      <c r="U16" s="7" t="str">
        <f aca="false">IF(T16="G G", "Risk", IF(T16="A A", "Protective", "Het"))</f>
        <v>Het</v>
      </c>
      <c r="V16" s="7" t="s">
        <v>146</v>
      </c>
      <c r="W16" s="7" t="str">
        <f aca="false">IF(V16="G G", "Risk", IF(V16="A A", "Protective", "Het"))</f>
        <v>Risk</v>
      </c>
      <c r="X16" s="7" t="s">
        <v>148</v>
      </c>
      <c r="Y16" s="7" t="str">
        <f aca="false">IF(X16="T T", "Risk", IF(X16="C C", "Protective", "Het"))</f>
        <v>Protective</v>
      </c>
      <c r="Z16" s="7" t="s">
        <v>146</v>
      </c>
      <c r="AA16" s="7" t="str">
        <f aca="false">IF(Z16="G G", "Risk", IF(Z16="A A", "Protective", "Het"))</f>
        <v>Risk</v>
      </c>
      <c r="AB16" s="7" t="s">
        <v>148</v>
      </c>
      <c r="AC16" s="7" t="str">
        <f aca="false">IF(AB16="T T", "Risk", IF(AB16="C C", "Protective", "Het"))</f>
        <v>Protective</v>
      </c>
      <c r="AD16" s="7" t="s">
        <v>154</v>
      </c>
      <c r="AE16" s="7" t="str">
        <f aca="false">IF(AD16="A A", "Risk", IF(AD16="G G", "Protective", "Het"))</f>
        <v>Het</v>
      </c>
      <c r="AF16" s="7" t="s">
        <v>146</v>
      </c>
      <c r="AG16" s="7" t="str">
        <f aca="false">IF(AF16="G G", "Risk", IF(AF16="T T", "Protective", "Het"))</f>
        <v>Risk</v>
      </c>
      <c r="AH16" s="7" t="s">
        <v>150</v>
      </c>
      <c r="AI16" s="7" t="str">
        <f aca="false">IF(AH16="TG TG", "Risk", IF(AH16="T T", "Protective", "Het"))</f>
        <v>Risk</v>
      </c>
      <c r="AJ16" s="7" t="s">
        <v>151</v>
      </c>
      <c r="AK16" s="7" t="str">
        <f aca="false">IF(AJ16="T T", "Risk", IF(AJ16="C C", "Protective", "Het"))</f>
        <v>Het</v>
      </c>
      <c r="AL16" s="7" t="s">
        <v>146</v>
      </c>
      <c r="AM16" s="7" t="str">
        <f aca="false">IF(AL16="G G", "Risk", IF(AL16="A A", "Protective", "Het"))</f>
        <v>Risk</v>
      </c>
      <c r="AN16" s="7" t="s">
        <v>151</v>
      </c>
      <c r="AO16" s="7" t="str">
        <f aca="false">IF(AN16="T T", "Risk", IF(AN16="C C", "Protective", "Het"))</f>
        <v>Het</v>
      </c>
      <c r="AP16" s="7" t="s">
        <v>147</v>
      </c>
      <c r="AQ16" s="7" t="str">
        <f aca="false">IF(AP16="C C", "Risk", IF(AP16="T T", "Protective", "Het"))</f>
        <v>Protective</v>
      </c>
      <c r="AR16" s="7" t="s">
        <v>146</v>
      </c>
      <c r="AS16" s="7" t="str">
        <f aca="false">IF(AR16="A A", "Risk", IF(AR16="G G", "Protective", "Het"))</f>
        <v>Protective</v>
      </c>
      <c r="AT16" s="7" t="s">
        <v>149</v>
      </c>
      <c r="AU16" s="7" t="str">
        <f aca="false">IF(AT16="G G", "Risk", IF(AT16="A A", "Protective", "Het"))</f>
        <v>Protective</v>
      </c>
      <c r="AV16" s="7" t="s">
        <v>145</v>
      </c>
      <c r="AW16" s="7" t="str">
        <f aca="false">IF(AV16="G G", "Risk", IF(AV16="A A", "Protective", "Het"))</f>
        <v>Het</v>
      </c>
      <c r="AX16" s="7" t="s">
        <v>148</v>
      </c>
      <c r="AY16" s="7" t="str">
        <f aca="false">IF(AX16="C C", "Risk", IF(AX16="T T", "Protective", "Het"))</f>
        <v>Risk</v>
      </c>
      <c r="AZ16" s="7" t="s">
        <v>148</v>
      </c>
      <c r="BA16" s="7" t="str">
        <f aca="false">IF(AZ16="C C", "Risk", IF(AZ16="T T", "Protective", "Het"))</f>
        <v>Risk</v>
      </c>
      <c r="BB16" s="7" t="s">
        <v>146</v>
      </c>
      <c r="BC16" s="7" t="str">
        <f aca="false">IF(BB16="A A", "Risk", IF(BB16="G G", "Protective", "Het"))</f>
        <v>Protective</v>
      </c>
      <c r="BD16" s="7" t="s">
        <v>146</v>
      </c>
      <c r="BE16" s="7" t="str">
        <f aca="false">IF(BD16="A A", "Risk", IF(BD16="G G", "Protective", "Het"))</f>
        <v>Protective</v>
      </c>
      <c r="BF16" s="7" t="s">
        <v>146</v>
      </c>
      <c r="BG16" s="7" t="str">
        <f aca="false">IF(BF16="G G", "Risk", IF(BF16="A A", "Protective", "Het"))</f>
        <v>Risk</v>
      </c>
      <c r="BH16" s="7" t="s">
        <v>145</v>
      </c>
      <c r="BI16" s="7" t="str">
        <f aca="false">IF(BH16="G G", "Risk", IF(BH16="A A", "Protective", "Het"))</f>
        <v>Het</v>
      </c>
      <c r="BJ16" s="7" t="s">
        <v>146</v>
      </c>
      <c r="BK16" s="7" t="str">
        <f aca="false">IF(BJ16="G G", "Risk", IF(BJ16="T T", "Protective", "Het"))</f>
        <v>Risk</v>
      </c>
      <c r="BL16" s="7" t="s">
        <v>148</v>
      </c>
      <c r="BM16" s="7" t="str">
        <f aca="false">IF(BL16="C C", "Risk", IF(BL16="T T", "Protective", "Het"))</f>
        <v>Risk</v>
      </c>
      <c r="BN16" s="7" t="s">
        <v>147</v>
      </c>
      <c r="BO16" s="7" t="str">
        <f aca="false">IF(BN16="T T", "Risk", IF(BN16="C C", "Protective", "Het"))</f>
        <v>Risk</v>
      </c>
      <c r="BP16" s="7" t="s">
        <v>145</v>
      </c>
      <c r="BQ16" s="7" t="str">
        <f aca="false">IF(BP16="A A", "Risk", IF(BP16="G G", "Protective", "Het"))</f>
        <v>Het</v>
      </c>
      <c r="BR16" s="7" t="s">
        <v>148</v>
      </c>
      <c r="BS16" s="7" t="str">
        <f aca="false">IF(BR16="C C", "Risk", IF(BR16="A A", "Protective", "Het"))</f>
        <v>Risk</v>
      </c>
      <c r="BT16" s="7" t="s">
        <v>151</v>
      </c>
      <c r="BU16" s="7" t="str">
        <f aca="false">IF(BT16="T T", "Risk", IF(BT16="C C", "Protective", "Het"))</f>
        <v>Het</v>
      </c>
      <c r="BV16" s="7" t="s">
        <v>145</v>
      </c>
      <c r="BW16" s="7" t="str">
        <f aca="false">IF(BV16="A A", "Risk", IF(BV16="G G", "Protective", "Het"))</f>
        <v>Het</v>
      </c>
      <c r="BX16" s="7" t="s">
        <v>149</v>
      </c>
      <c r="BY16" s="7" t="str">
        <f aca="false">IF(BX16="A A", "Risk", IF(BX16="G G", "Protective", "Het"))</f>
        <v>Risk</v>
      </c>
      <c r="BZ16" s="7" t="s">
        <v>148</v>
      </c>
      <c r="CA16" s="7" t="str">
        <f aca="false">IF(BZ16="C C", "Risk", IF(BZ16="T T", "Protective", "Het"))</f>
        <v>Risk</v>
      </c>
      <c r="CB16" s="7" t="s">
        <v>146</v>
      </c>
      <c r="CC16" s="7" t="str">
        <f aca="false">IF(CB16="G G", "Risk", IF(CB16="T T", "Protective", "Het"))</f>
        <v>Risk</v>
      </c>
      <c r="CD16" s="7" t="s">
        <v>149</v>
      </c>
      <c r="CE16" s="7" t="str">
        <f aca="false">IF(CD16="T T", "Risk", IF(CD16="A A", "Protective", "Het"))</f>
        <v>Protective</v>
      </c>
      <c r="CF16" s="7" t="s">
        <v>151</v>
      </c>
      <c r="CG16" s="7" t="str">
        <f aca="false">IF(CF16="C C", "Risk", IF(CF16="T T", "Protective", "Het"))</f>
        <v>Het</v>
      </c>
      <c r="CH16" s="7" t="s">
        <v>148</v>
      </c>
      <c r="CI16" s="7" t="s">
        <v>151</v>
      </c>
      <c r="CJ16" s="7" t="str">
        <f aca="false">IF(CI16="T T", "Risk", IF(CI16="C C", "Protective", "Het"))</f>
        <v>Het</v>
      </c>
      <c r="CK16" s="7" t="s">
        <v>148</v>
      </c>
      <c r="CL16" s="7" t="str">
        <f aca="false">IF(CK16="T T", "Risk", IF(CK16="C C", "Protective", "Het"))</f>
        <v>Protective</v>
      </c>
      <c r="CM16" s="7" t="s">
        <v>148</v>
      </c>
      <c r="CN16" s="7" t="str">
        <f aca="false">IF(CM16="T T", "Risk", IF(CM16="C C", "Protective", "Het"))</f>
        <v>Protective</v>
      </c>
      <c r="CO16" s="7" t="s">
        <v>146</v>
      </c>
      <c r="CP16" s="7" t="str">
        <f aca="false">IF(CO16="A A", "Risk", IF(CO16="G G", "Protective", "Het"))</f>
        <v>Protective</v>
      </c>
      <c r="CQ16" s="7" t="s">
        <v>147</v>
      </c>
      <c r="CR16" s="7" t="str">
        <f aca="false">IF(CQ16="T T", "Risk", IF(CQ16="A A", "Protective", "Het"))</f>
        <v>Risk</v>
      </c>
      <c r="CS16" s="7" t="s">
        <v>147</v>
      </c>
      <c r="CT16" s="7" t="str">
        <f aca="false">IF(CS16="T T", "Risk", IF(CS16="C C", "Protective", "Het"))</f>
        <v>Risk</v>
      </c>
      <c r="CU16" s="7" t="s">
        <v>151</v>
      </c>
      <c r="CV16" s="7" t="str">
        <f aca="false">IF(CU16="C C", "Risk", IF(CU16="T T", "Protective", "Het"))</f>
        <v>Het</v>
      </c>
      <c r="CW16" s="7" t="s">
        <v>162</v>
      </c>
      <c r="CX16" s="7" t="str">
        <f aca="false">IF(CW16="G G", "Risk", IF(CW16="C C", "Protective", "Het"))</f>
        <v>Het</v>
      </c>
      <c r="CY16" s="7" t="s">
        <v>149</v>
      </c>
      <c r="CZ16" s="7" t="str">
        <f aca="false">IF(CY16="A A", "Risk", IF(CY16="G G", "Protective", "Het"))</f>
        <v>Risk</v>
      </c>
      <c r="DA16" s="7" t="s">
        <v>149</v>
      </c>
      <c r="DB16" s="7" t="str">
        <f aca="false">IF(DA16="A A", "Risk", IF(DA16="G G", "Protective", "Het"))</f>
        <v>Risk</v>
      </c>
      <c r="DC16" s="7" t="s">
        <v>148</v>
      </c>
      <c r="DD16" s="7" t="str">
        <f aca="false">IF(DC16="C C", "Risk", IF(DC16="A A", "Protective", "Het"))</f>
        <v>Risk</v>
      </c>
      <c r="DE16" s="7" t="s">
        <v>147</v>
      </c>
      <c r="DF16" s="7" t="str">
        <f aca="false">IF(DE16="T T", "Risk", IF(DE16="C C", "Protective", "Het"))</f>
        <v>Risk</v>
      </c>
      <c r="DG16" s="7" t="s">
        <v>146</v>
      </c>
      <c r="DH16" s="7" t="str">
        <f aca="false">IF(DG16="T T", "Risk", IF(DG16="G G", "Protective", "Het"))</f>
        <v>Protective</v>
      </c>
      <c r="DI16" s="7" t="s">
        <v>147</v>
      </c>
      <c r="DJ16" s="7" t="str">
        <f aca="false">IF(DI16="C C", "Risk", IF(DI16="T T", "Protective", "Het"))</f>
        <v>Protective</v>
      </c>
      <c r="DK16" s="7" t="s">
        <v>146</v>
      </c>
      <c r="DL16" s="7" t="str">
        <f aca="false">IF(DK16="A A", "Risk", IF(DK16="G G", "Protective", "Het"))</f>
        <v>Protective</v>
      </c>
      <c r="DM16" s="7" t="s">
        <v>146</v>
      </c>
      <c r="DN16" s="7" t="str">
        <f aca="false">IF(DM16="C C", "Risk", IF(DM16="G G", "Protective", "Het"))</f>
        <v>Protective</v>
      </c>
      <c r="DO16" s="7" t="s">
        <v>146</v>
      </c>
      <c r="DP16" s="7" t="s">
        <v>148</v>
      </c>
      <c r="DQ16" s="7" t="s">
        <v>147</v>
      </c>
      <c r="DR16" s="7" t="s">
        <v>146</v>
      </c>
      <c r="DS16" s="7" t="s">
        <v>148</v>
      </c>
      <c r="DT16" s="7" t="s">
        <v>148</v>
      </c>
      <c r="DU16" s="7" t="s">
        <v>145</v>
      </c>
      <c r="DV16" s="7" t="s">
        <v>146</v>
      </c>
      <c r="DW16" s="7" t="s">
        <v>148</v>
      </c>
      <c r="DX16" s="7" t="s">
        <v>148</v>
      </c>
      <c r="DY16" s="7" t="s">
        <v>147</v>
      </c>
      <c r="DZ16" s="7" t="s">
        <v>149</v>
      </c>
      <c r="EA16" s="7" t="s">
        <v>146</v>
      </c>
      <c r="EB16" s="7" t="s">
        <v>148</v>
      </c>
      <c r="EC16" s="7" t="s">
        <v>146</v>
      </c>
      <c r="ED16" s="7" t="s">
        <v>146</v>
      </c>
      <c r="EE16" s="7" t="s">
        <v>146</v>
      </c>
      <c r="EF16" s="0"/>
    </row>
    <row r="17" s="13" customFormat="true" ht="15" hidden="false" customHeight="false" outlineLevel="0" collapsed="false">
      <c r="EF17" s="0"/>
    </row>
    <row r="18" s="7" customFormat="true" ht="15" hidden="false" customHeight="false" outlineLevel="0" collapsed="false">
      <c r="A18" s="7" t="s">
        <v>135</v>
      </c>
      <c r="E18" s="2" t="s">
        <v>136</v>
      </c>
      <c r="F18" s="2" t="s">
        <v>136</v>
      </c>
      <c r="G18" s="7" t="s">
        <v>185</v>
      </c>
      <c r="H18" s="2" t="s">
        <v>138</v>
      </c>
      <c r="I18" s="7" t="n">
        <v>33</v>
      </c>
      <c r="J18" s="2"/>
      <c r="K18" s="2" t="s">
        <v>139</v>
      </c>
      <c r="L18" s="11" t="n">
        <v>1.74</v>
      </c>
      <c r="M18" s="12" t="s">
        <v>140</v>
      </c>
      <c r="N18" s="12" t="s">
        <v>159</v>
      </c>
      <c r="O18" s="12" t="n">
        <v>2.04</v>
      </c>
      <c r="P18" s="12" t="n">
        <v>5.1</v>
      </c>
      <c r="Q18" s="12" t="n">
        <v>19.3</v>
      </c>
      <c r="R18" s="2" t="s">
        <v>186</v>
      </c>
      <c r="S18" s="7" t="s">
        <v>187</v>
      </c>
      <c r="T18" s="7" t="s">
        <v>149</v>
      </c>
      <c r="U18" s="7" t="str">
        <f aca="false">IF(T18="G G", "Risk", IF(T18="A A", "Protective", "Het"))</f>
        <v>Protective</v>
      </c>
      <c r="V18" s="7" t="s">
        <v>146</v>
      </c>
      <c r="W18" s="7" t="str">
        <f aca="false">IF(V18="G G", "Risk", IF(V18="A A", "Protective", "Het"))</f>
        <v>Risk</v>
      </c>
      <c r="X18" s="7" t="s">
        <v>148</v>
      </c>
      <c r="Y18" s="7" t="str">
        <f aca="false">IF(X18="T T", "Risk", IF(X18="C C", "Protective", "Het"))</f>
        <v>Protective</v>
      </c>
      <c r="Z18" s="7" t="s">
        <v>146</v>
      </c>
      <c r="AA18" s="7" t="str">
        <f aca="false">IF(Z18="G G", "Risk", IF(Z18="A A", "Protective", "Het"))</f>
        <v>Risk</v>
      </c>
      <c r="AB18" s="7" t="s">
        <v>148</v>
      </c>
      <c r="AC18" s="7" t="str">
        <f aca="false">IF(AB18="T T", "Risk", IF(AB18="C C", "Protective", "Het"))</f>
        <v>Protective</v>
      </c>
      <c r="AD18" s="7" t="s">
        <v>149</v>
      </c>
      <c r="AE18" s="7" t="str">
        <f aca="false">IF(AD18="A A", "Risk", IF(AD18="G G", "Protective", "Het"))</f>
        <v>Risk</v>
      </c>
      <c r="AF18" s="7" t="s">
        <v>146</v>
      </c>
      <c r="AG18" s="7" t="str">
        <f aca="false">IF(AF18="G G", "Risk", IF(AF18="T T", "Protective", "Het"))</f>
        <v>Risk</v>
      </c>
      <c r="AH18" s="7" t="s">
        <v>150</v>
      </c>
      <c r="AI18" s="7" t="str">
        <f aca="false">IF(AH18="TG TG", "Risk", IF(AH18="T T", "Protective", "Het"))</f>
        <v>Risk</v>
      </c>
      <c r="AJ18" s="7" t="s">
        <v>148</v>
      </c>
      <c r="AK18" s="7" t="str">
        <f aca="false">IF(AJ18="T T", "Risk", IF(AJ18="C C", "Protective", "Het"))</f>
        <v>Protective</v>
      </c>
      <c r="AL18" s="7" t="s">
        <v>146</v>
      </c>
      <c r="AM18" s="7" t="str">
        <f aca="false">IF(AL18="G G", "Risk", IF(AL18="A A", "Protective", "Het"))</f>
        <v>Risk</v>
      </c>
      <c r="AN18" s="7" t="s">
        <v>147</v>
      </c>
      <c r="AO18" s="7" t="str">
        <f aca="false">IF(AN18="T T", "Risk", IF(AN18="C C", "Protective", "Het"))</f>
        <v>Risk</v>
      </c>
      <c r="AP18" s="7" t="s">
        <v>152</v>
      </c>
      <c r="AQ18" s="7" t="str">
        <f aca="false">IF(AP18="C C", "Risk", IF(AP18="T T", "Protective", "Het"))</f>
        <v>Het</v>
      </c>
      <c r="AR18" s="7" t="s">
        <v>146</v>
      </c>
      <c r="AS18" s="7" t="str">
        <f aca="false">IF(AR18="A A", "Risk", IF(AR18="G G", "Protective", "Het"))</f>
        <v>Protective</v>
      </c>
      <c r="AT18" s="7" t="s">
        <v>149</v>
      </c>
      <c r="AU18" s="7" t="str">
        <f aca="false">IF(AT18="G G", "Risk", IF(AT18="A A", "Protective", "Het"))</f>
        <v>Protective</v>
      </c>
      <c r="AV18" s="7" t="s">
        <v>145</v>
      </c>
      <c r="AW18" s="7" t="str">
        <f aca="false">IF(AV18="G G", "Risk", IF(AV18="A A", "Protective", "Het"))</f>
        <v>Het</v>
      </c>
      <c r="AX18" s="7" t="s">
        <v>147</v>
      </c>
      <c r="AY18" s="7" t="str">
        <f aca="false">IF(AX18="C C", "Risk", IF(AX18="T T", "Protective", "Het"))</f>
        <v>Protective</v>
      </c>
      <c r="AZ18" s="7" t="s">
        <v>148</v>
      </c>
      <c r="BA18" s="7" t="str">
        <f aca="false">IF(AZ18="C C", "Risk", IF(AZ18="T T", "Protective", "Het"))</f>
        <v>Risk</v>
      </c>
      <c r="BB18" s="7" t="s">
        <v>145</v>
      </c>
      <c r="BC18" s="7" t="str">
        <f aca="false">IF(BB18="A A", "Risk", IF(BB18="G G", "Protective", "Het"))</f>
        <v>Het</v>
      </c>
      <c r="BD18" s="7" t="s">
        <v>146</v>
      </c>
      <c r="BE18" s="7" t="str">
        <f aca="false">IF(BD18="A A", "Risk", IF(BD18="G G", "Protective", "Het"))</f>
        <v>Protective</v>
      </c>
      <c r="BF18" s="7" t="s">
        <v>146</v>
      </c>
      <c r="BG18" s="7" t="str">
        <f aca="false">IF(BF18="G G", "Risk", IF(BF18="A A", "Protective", "Het"))</f>
        <v>Risk</v>
      </c>
      <c r="BH18" s="7" t="s">
        <v>149</v>
      </c>
      <c r="BI18" s="7" t="str">
        <f aca="false">IF(BH18="G G", "Risk", IF(BH18="A A", "Protective", "Het"))</f>
        <v>Protective</v>
      </c>
      <c r="BJ18" s="7" t="s">
        <v>153</v>
      </c>
      <c r="BK18" s="7" t="str">
        <f aca="false">IF(BJ18="G G", "Risk", IF(BJ18="T T", "Protective", "Het"))</f>
        <v>Het</v>
      </c>
      <c r="BL18" s="7" t="s">
        <v>148</v>
      </c>
      <c r="BM18" s="7" t="str">
        <f aca="false">IF(BL18="C C", "Risk", IF(BL18="T T", "Protective", "Het"))</f>
        <v>Risk</v>
      </c>
      <c r="BN18" s="7" t="s">
        <v>147</v>
      </c>
      <c r="BO18" s="7" t="str">
        <f aca="false">IF(BN18="T T", "Risk", IF(BN18="C C", "Protective", "Het"))</f>
        <v>Risk</v>
      </c>
      <c r="BP18" s="7" t="s">
        <v>145</v>
      </c>
      <c r="BQ18" s="7" t="str">
        <f aca="false">IF(BP18="A A", "Risk", IF(BP18="G G", "Protective", "Het"))</f>
        <v>Het</v>
      </c>
      <c r="BR18" s="7" t="s">
        <v>148</v>
      </c>
      <c r="BS18" s="7" t="str">
        <f aca="false">IF(BR18="C C", "Risk", IF(BR18="A A", "Protective", "Het"))</f>
        <v>Risk</v>
      </c>
      <c r="BT18" s="7" t="s">
        <v>147</v>
      </c>
      <c r="BU18" s="7" t="str">
        <f aca="false">IF(BT18="T T", "Risk", IF(BT18="C C", "Protective", "Het"))</f>
        <v>Risk</v>
      </c>
      <c r="BV18" s="7" t="s">
        <v>146</v>
      </c>
      <c r="BW18" s="7" t="str">
        <f aca="false">IF(BV18="A A", "Risk", IF(BV18="G G", "Protective", "Het"))</f>
        <v>Protective</v>
      </c>
      <c r="BX18" s="7" t="s">
        <v>149</v>
      </c>
      <c r="BY18" s="7" t="str">
        <f aca="false">IF(BX18="A A", "Risk", IF(BX18="G G", "Protective", "Het"))</f>
        <v>Risk</v>
      </c>
      <c r="BZ18" s="7" t="s">
        <v>152</v>
      </c>
      <c r="CA18" s="7" t="str">
        <f aca="false">IF(BZ18="C C", "Risk", IF(BZ18="T T", "Protective", "Het"))</f>
        <v>Het</v>
      </c>
      <c r="CB18" s="7" t="s">
        <v>146</v>
      </c>
      <c r="CC18" s="7" t="str">
        <f aca="false">IF(CB18="G G", "Risk", IF(CB18="T T", "Protective", "Het"))</f>
        <v>Risk</v>
      </c>
      <c r="CD18" s="7" t="s">
        <v>149</v>
      </c>
      <c r="CE18" s="7" t="str">
        <f aca="false">IF(CD18="T T", "Risk", IF(CD18="A A", "Protective", "Het"))</f>
        <v>Protective</v>
      </c>
      <c r="CF18" s="7" t="s">
        <v>148</v>
      </c>
      <c r="CG18" s="7" t="str">
        <f aca="false">IF(CF18="C C", "Risk", IF(CF18="T T", "Protective", "Het"))</f>
        <v>Risk</v>
      </c>
      <c r="CH18" s="7" t="s">
        <v>148</v>
      </c>
      <c r="CI18" s="7" t="s">
        <v>147</v>
      </c>
      <c r="CJ18" s="7" t="str">
        <f aca="false">IF(CI18="T T", "Risk", IF(CI18="C C", "Protective", "Het"))</f>
        <v>Risk</v>
      </c>
      <c r="CK18" s="7" t="s">
        <v>148</v>
      </c>
      <c r="CL18" s="7" t="str">
        <f aca="false">IF(CK18="T T", "Risk", IF(CK18="C C", "Protective", "Het"))</f>
        <v>Protective</v>
      </c>
      <c r="CM18" s="7" t="s">
        <v>152</v>
      </c>
      <c r="CN18" s="7" t="str">
        <f aca="false">IF(CM18="T T", "Risk", IF(CM18="C C", "Protective", "Het"))</f>
        <v>Het</v>
      </c>
      <c r="CO18" s="7" t="s">
        <v>145</v>
      </c>
      <c r="CP18" s="7" t="str">
        <f aca="false">IF(CO18="A A", "Risk", IF(CO18="G G", "Protective", "Het"))</f>
        <v>Het</v>
      </c>
      <c r="CQ18" s="7" t="s">
        <v>147</v>
      </c>
      <c r="CR18" s="7" t="str">
        <f aca="false">IF(CQ18="T T", "Risk", IF(CQ18="A A", "Protective", "Het"))</f>
        <v>Risk</v>
      </c>
      <c r="CS18" s="7" t="s">
        <v>147</v>
      </c>
      <c r="CT18" s="7" t="str">
        <f aca="false">IF(CS18="T T", "Risk", IF(CS18="C C", "Protective", "Het"))</f>
        <v>Risk</v>
      </c>
      <c r="CU18" s="7" t="s">
        <v>147</v>
      </c>
      <c r="CV18" s="7" t="str">
        <f aca="false">IF(CU18="C C", "Risk", IF(CU18="T T", "Protective", "Het"))</f>
        <v>Protective</v>
      </c>
      <c r="CW18" s="7" t="s">
        <v>162</v>
      </c>
      <c r="CX18" s="7" t="str">
        <f aca="false">IF(CW18="G G", "Risk", IF(CW18="C C", "Protective", "Het"))</f>
        <v>Het</v>
      </c>
      <c r="CY18" s="7" t="s">
        <v>149</v>
      </c>
      <c r="CZ18" s="7" t="str">
        <f aca="false">IF(CY18="A A", "Risk", IF(CY18="G G", "Protective", "Het"))</f>
        <v>Risk</v>
      </c>
      <c r="DA18" s="7" t="s">
        <v>154</v>
      </c>
      <c r="DB18" s="7" t="str">
        <f aca="false">IF(DA18="A A", "Risk", IF(DA18="G G", "Protective", "Het"))</f>
        <v>Het</v>
      </c>
      <c r="DC18" s="7" t="s">
        <v>148</v>
      </c>
      <c r="DD18" s="7" t="str">
        <f aca="false">IF(DC18="C C", "Risk", IF(DC18="A A", "Protective", "Het"))</f>
        <v>Risk</v>
      </c>
      <c r="DE18" s="7" t="s">
        <v>151</v>
      </c>
      <c r="DF18" s="7" t="str">
        <f aca="false">IF(DE18="T T", "Risk", IF(DE18="C C", "Protective", "Het"))</f>
        <v>Het</v>
      </c>
      <c r="DG18" s="7" t="s">
        <v>146</v>
      </c>
      <c r="DH18" s="7" t="str">
        <f aca="false">IF(DG18="T T", "Risk", IF(DG18="G G", "Protective", "Het"))</f>
        <v>Protective</v>
      </c>
      <c r="DI18" s="7" t="s">
        <v>151</v>
      </c>
      <c r="DJ18" s="7" t="str">
        <f aca="false">IF(DI18="C C", "Risk", IF(DI18="T T", "Protective", "Het"))</f>
        <v>Het</v>
      </c>
      <c r="DK18" s="7" t="s">
        <v>146</v>
      </c>
      <c r="DL18" s="7" t="str">
        <f aca="false">IF(DK18="A A", "Risk", IF(DK18="G G", "Protective", "Het"))</f>
        <v>Protective</v>
      </c>
      <c r="DM18" s="7" t="s">
        <v>146</v>
      </c>
      <c r="DN18" s="7" t="str">
        <f aca="false">IF(DM18="C C", "Risk", IF(DM18="G G", "Protective", "Het"))</f>
        <v>Protective</v>
      </c>
      <c r="DO18" s="7" t="s">
        <v>146</v>
      </c>
      <c r="DP18" s="7" t="s">
        <v>148</v>
      </c>
      <c r="DQ18" s="7" t="s">
        <v>147</v>
      </c>
      <c r="DR18" s="7" t="s">
        <v>146</v>
      </c>
      <c r="DS18" s="7" t="s">
        <v>148</v>
      </c>
      <c r="DT18" s="7" t="s">
        <v>148</v>
      </c>
      <c r="DU18" s="7" t="s">
        <v>145</v>
      </c>
      <c r="DV18" s="7" t="s">
        <v>146</v>
      </c>
      <c r="DW18" s="7" t="s">
        <v>148</v>
      </c>
      <c r="DX18" s="7" t="s">
        <v>148</v>
      </c>
      <c r="DY18" s="7" t="s">
        <v>147</v>
      </c>
      <c r="DZ18" s="7" t="s">
        <v>149</v>
      </c>
      <c r="EA18" s="7" t="s">
        <v>146</v>
      </c>
      <c r="EB18" s="7" t="s">
        <v>148</v>
      </c>
      <c r="EC18" s="7" t="s">
        <v>146</v>
      </c>
      <c r="ED18" s="7" t="s">
        <v>146</v>
      </c>
      <c r="EE18" s="7" t="s">
        <v>146</v>
      </c>
      <c r="EF18" s="0"/>
    </row>
    <row r="19" s="7" customFormat="true" ht="15" hidden="false" customHeight="false" outlineLevel="0" collapsed="false">
      <c r="B19" s="7" t="s">
        <v>135</v>
      </c>
      <c r="C19" s="7" t="s">
        <v>135</v>
      </c>
      <c r="D19" s="7" t="s">
        <v>188</v>
      </c>
      <c r="E19" s="2" t="n">
        <v>19002</v>
      </c>
      <c r="F19" s="2" t="s">
        <v>189</v>
      </c>
      <c r="G19" s="7" t="s">
        <v>190</v>
      </c>
      <c r="H19" s="2" t="s">
        <v>166</v>
      </c>
      <c r="I19" s="2" t="n">
        <v>29</v>
      </c>
      <c r="J19" s="2"/>
      <c r="K19" s="2" t="s">
        <v>139</v>
      </c>
      <c r="L19" s="11" t="n">
        <v>0.93</v>
      </c>
      <c r="M19" s="12" t="s">
        <v>158</v>
      </c>
      <c r="N19" s="12" t="s">
        <v>159</v>
      </c>
      <c r="O19" s="12" t="n">
        <v>3.8</v>
      </c>
      <c r="P19" s="12" t="n">
        <v>6</v>
      </c>
      <c r="Q19" s="12" t="n">
        <v>21.84</v>
      </c>
      <c r="R19" s="2" t="s">
        <v>186</v>
      </c>
      <c r="S19" s="7" t="s">
        <v>187</v>
      </c>
      <c r="T19" s="7" t="s">
        <v>146</v>
      </c>
      <c r="U19" s="7" t="str">
        <f aca="false">IF(T19="G G", "Risk", IF(T19="A A", "Protective", "Het"))</f>
        <v>Risk</v>
      </c>
      <c r="V19" s="7" t="s">
        <v>146</v>
      </c>
      <c r="W19" s="7" t="str">
        <f aca="false">IF(V19="G G", "Risk", IF(V19="A A", "Protective", "Het"))</f>
        <v>Risk</v>
      </c>
      <c r="X19" s="7" t="s">
        <v>148</v>
      </c>
      <c r="Y19" s="7" t="str">
        <f aca="false">IF(X19="T T", "Risk", IF(X19="C C", "Protective", "Het"))</f>
        <v>Protective</v>
      </c>
      <c r="Z19" s="7" t="s">
        <v>146</v>
      </c>
      <c r="AA19" s="7" t="str">
        <f aca="false">IF(Z19="G G", "Risk", IF(Z19="A A", "Protective", "Het"))</f>
        <v>Risk</v>
      </c>
      <c r="AB19" s="7" t="s">
        <v>148</v>
      </c>
      <c r="AC19" s="7" t="str">
        <f aca="false">IF(AB19="T T", "Risk", IF(AB19="C C", "Protective", "Het"))</f>
        <v>Protective</v>
      </c>
      <c r="AD19" s="7" t="s">
        <v>154</v>
      </c>
      <c r="AE19" s="7" t="str">
        <f aca="false">IF(AD19="A A", "Risk", IF(AD19="G G", "Protective", "Het"))</f>
        <v>Het</v>
      </c>
      <c r="AF19" s="7" t="s">
        <v>146</v>
      </c>
      <c r="AG19" s="7" t="str">
        <f aca="false">IF(AF19="G G", "Risk", IF(AF19="T T", "Protective", "Het"))</f>
        <v>Risk</v>
      </c>
      <c r="AH19" s="7" t="s">
        <v>150</v>
      </c>
      <c r="AI19" s="7" t="str">
        <f aca="false">IF(AH19="TG TG", "Risk", IF(AH19="T T", "Protective", "Het"))</f>
        <v>Risk</v>
      </c>
      <c r="AJ19" s="7" t="s">
        <v>148</v>
      </c>
      <c r="AK19" s="7" t="str">
        <f aca="false">IF(AJ19="T T", "Risk", IF(AJ19="C C", "Protective", "Het"))</f>
        <v>Protective</v>
      </c>
      <c r="AL19" s="7" t="s">
        <v>146</v>
      </c>
      <c r="AM19" s="7" t="str">
        <f aca="false">IF(AL19="G G", "Risk", IF(AL19="A A", "Protective", "Het"))</f>
        <v>Risk</v>
      </c>
      <c r="AN19" s="7" t="s">
        <v>147</v>
      </c>
      <c r="AO19" s="7" t="str">
        <f aca="false">IF(AN19="T T", "Risk", IF(AN19="C C", "Protective", "Het"))</f>
        <v>Risk</v>
      </c>
      <c r="AP19" s="7" t="s">
        <v>148</v>
      </c>
      <c r="AQ19" s="7" t="str">
        <f aca="false">IF(AP19="C C", "Risk", IF(AP19="T T", "Protective", "Het"))</f>
        <v>Risk</v>
      </c>
      <c r="AR19" s="7" t="s">
        <v>146</v>
      </c>
      <c r="AS19" s="7" t="str">
        <f aca="false">IF(AR19="A A", "Risk", IF(AR19="G G", "Protective", "Het"))</f>
        <v>Protective</v>
      </c>
      <c r="AT19" s="7" t="s">
        <v>149</v>
      </c>
      <c r="AU19" s="7" t="str">
        <f aca="false">IF(AT19="G G", "Risk", IF(AT19="A A", "Protective", "Het"))</f>
        <v>Protective</v>
      </c>
      <c r="AV19" s="7" t="s">
        <v>149</v>
      </c>
      <c r="AW19" s="7" t="str">
        <f aca="false">IF(AV19="G G", "Risk", IF(AV19="A A", "Protective", "Het"))</f>
        <v>Protective</v>
      </c>
      <c r="AX19" s="7" t="s">
        <v>148</v>
      </c>
      <c r="AY19" s="7" t="str">
        <f aca="false">IF(AX19="C C", "Risk", IF(AX19="T T", "Protective", "Het"))</f>
        <v>Risk</v>
      </c>
      <c r="AZ19" s="7" t="s">
        <v>148</v>
      </c>
      <c r="BA19" s="7" t="str">
        <f aca="false">IF(AZ19="C C", "Risk", IF(AZ19="T T", "Protective", "Het"))</f>
        <v>Risk</v>
      </c>
      <c r="BB19" s="7" t="s">
        <v>146</v>
      </c>
      <c r="BC19" s="7" t="str">
        <f aca="false">IF(BB19="A A", "Risk", IF(BB19="G G", "Protective", "Het"))</f>
        <v>Protective</v>
      </c>
      <c r="BD19" s="7" t="s">
        <v>146</v>
      </c>
      <c r="BE19" s="7" t="str">
        <f aca="false">IF(BD19="A A", "Risk", IF(BD19="G G", "Protective", "Het"))</f>
        <v>Protective</v>
      </c>
      <c r="BF19" s="7" t="s">
        <v>146</v>
      </c>
      <c r="BG19" s="7" t="str">
        <f aca="false">IF(BF19="G G", "Risk", IF(BF19="A A", "Protective", "Het"))</f>
        <v>Risk</v>
      </c>
      <c r="BH19" s="7" t="s">
        <v>145</v>
      </c>
      <c r="BI19" s="7" t="str">
        <f aca="false">IF(BH19="G G", "Risk", IF(BH19="A A", "Protective", "Het"))</f>
        <v>Het</v>
      </c>
      <c r="BJ19" s="7" t="s">
        <v>153</v>
      </c>
      <c r="BK19" s="7" t="str">
        <f aca="false">IF(BJ19="G G", "Risk", IF(BJ19="T T", "Protective", "Het"))</f>
        <v>Het</v>
      </c>
      <c r="BL19" s="7" t="s">
        <v>152</v>
      </c>
      <c r="BM19" s="7" t="str">
        <f aca="false">IF(BL19="C C", "Risk", IF(BL19="T T", "Protective", "Het"))</f>
        <v>Het</v>
      </c>
      <c r="BN19" s="7" t="s">
        <v>147</v>
      </c>
      <c r="BO19" s="7" t="str">
        <f aca="false">IF(BN19="T T", "Risk", IF(BN19="C C", "Protective", "Het"))</f>
        <v>Risk</v>
      </c>
      <c r="BP19" s="7" t="s">
        <v>145</v>
      </c>
      <c r="BQ19" s="7" t="str">
        <f aca="false">IF(BP19="A A", "Risk", IF(BP19="G G", "Protective", "Het"))</f>
        <v>Het</v>
      </c>
      <c r="BR19" s="7" t="s">
        <v>148</v>
      </c>
      <c r="BS19" s="7" t="str">
        <f aca="false">IF(BR19="C C", "Risk", IF(BR19="A A", "Protective", "Het"))</f>
        <v>Risk</v>
      </c>
      <c r="BT19" s="7" t="s">
        <v>147</v>
      </c>
      <c r="BU19" s="7" t="str">
        <f aca="false">IF(BT19="T T", "Risk", IF(BT19="C C", "Protective", "Het"))</f>
        <v>Risk</v>
      </c>
      <c r="BV19" s="7" t="s">
        <v>145</v>
      </c>
      <c r="BW19" s="7" t="str">
        <f aca="false">IF(BV19="A A", "Risk", IF(BV19="G G", "Protective", "Het"))</f>
        <v>Het</v>
      </c>
      <c r="BX19" s="7" t="s">
        <v>154</v>
      </c>
      <c r="BY19" s="7" t="str">
        <f aca="false">IF(BX19="A A", "Risk", IF(BX19="G G", "Protective", "Het"))</f>
        <v>Het</v>
      </c>
      <c r="BZ19" s="7" t="s">
        <v>152</v>
      </c>
      <c r="CA19" s="7" t="str">
        <f aca="false">IF(BZ19="C C", "Risk", IF(BZ19="T T", "Protective", "Het"))</f>
        <v>Het</v>
      </c>
      <c r="CB19" s="7" t="s">
        <v>146</v>
      </c>
      <c r="CC19" s="7" t="str">
        <f aca="false">IF(CB19="G G", "Risk", IF(CB19="T T", "Protective", "Het"))</f>
        <v>Risk</v>
      </c>
      <c r="CD19" s="7" t="s">
        <v>156</v>
      </c>
      <c r="CE19" s="7" t="str">
        <f aca="false">IF(CD19="T T", "Risk", IF(CD19="A A", "Protective", "Het"))</f>
        <v>Het</v>
      </c>
      <c r="CF19" s="7" t="s">
        <v>148</v>
      </c>
      <c r="CG19" s="7" t="str">
        <f aca="false">IF(CF19="C C", "Risk", IF(CF19="T T", "Protective", "Het"))</f>
        <v>Risk</v>
      </c>
      <c r="CH19" s="7" t="s">
        <v>148</v>
      </c>
      <c r="CI19" s="7" t="s">
        <v>147</v>
      </c>
      <c r="CJ19" s="7" t="str">
        <f aca="false">IF(CI19="T T", "Risk", IF(CI19="C C", "Protective", "Het"))</f>
        <v>Risk</v>
      </c>
      <c r="CK19" s="7" t="s">
        <v>148</v>
      </c>
      <c r="CL19" s="7" t="str">
        <f aca="false">IF(CK19="T T", "Risk", IF(CK19="C C", "Protective", "Het"))</f>
        <v>Protective</v>
      </c>
      <c r="CM19" s="7" t="s">
        <v>148</v>
      </c>
      <c r="CN19" s="7" t="str">
        <f aca="false">IF(CM19="T T", "Risk", IF(CM19="C C", "Protective", "Het"))</f>
        <v>Protective</v>
      </c>
      <c r="CO19" s="7" t="s">
        <v>146</v>
      </c>
      <c r="CP19" s="7" t="str">
        <f aca="false">IF(CO19="A A", "Risk", IF(CO19="G G", "Protective", "Het"))</f>
        <v>Protective</v>
      </c>
      <c r="CQ19" s="7" t="s">
        <v>147</v>
      </c>
      <c r="CR19" s="7" t="str">
        <f aca="false">IF(CQ19="T T", "Risk", IF(CQ19="A A", "Protective", "Het"))</f>
        <v>Risk</v>
      </c>
      <c r="CS19" s="7" t="s">
        <v>147</v>
      </c>
      <c r="CT19" s="7" t="str">
        <f aca="false">IF(CS19="T T", "Risk", IF(CS19="C C", "Protective", "Het"))</f>
        <v>Risk</v>
      </c>
      <c r="CU19" s="7" t="s">
        <v>147</v>
      </c>
      <c r="CV19" s="7" t="str">
        <f aca="false">IF(CU19="C C", "Risk", IF(CU19="T T", "Protective", "Het"))</f>
        <v>Protective</v>
      </c>
      <c r="CW19" s="7" t="s">
        <v>162</v>
      </c>
      <c r="CX19" s="7" t="str">
        <f aca="false">IF(CW19="G G", "Risk", IF(CW19="C C", "Protective", "Het"))</f>
        <v>Het</v>
      </c>
      <c r="CY19" s="7" t="s">
        <v>149</v>
      </c>
      <c r="CZ19" s="7" t="str">
        <f aca="false">IF(CY19="A A", "Risk", IF(CY19="G G", "Protective", "Het"))</f>
        <v>Risk</v>
      </c>
      <c r="DA19" s="7" t="s">
        <v>146</v>
      </c>
      <c r="DB19" s="7" t="str">
        <f aca="false">IF(DA19="A A", "Risk", IF(DA19="G G", "Protective", "Het"))</f>
        <v>Protective</v>
      </c>
      <c r="DC19" s="7" t="s">
        <v>148</v>
      </c>
      <c r="DD19" s="7" t="str">
        <f aca="false">IF(DC19="C C", "Risk", IF(DC19="A A", "Protective", "Het"))</f>
        <v>Risk</v>
      </c>
      <c r="DE19" s="7" t="s">
        <v>147</v>
      </c>
      <c r="DF19" s="7" t="str">
        <f aca="false">IF(DE19="T T", "Risk", IF(DE19="C C", "Protective", "Het"))</f>
        <v>Risk</v>
      </c>
      <c r="DG19" s="7" t="s">
        <v>146</v>
      </c>
      <c r="DH19" s="7" t="str">
        <f aca="false">IF(DG19="T T", "Risk", IF(DG19="G G", "Protective", "Het"))</f>
        <v>Protective</v>
      </c>
      <c r="DI19" s="7" t="s">
        <v>147</v>
      </c>
      <c r="DJ19" s="7" t="str">
        <f aca="false">IF(DI19="C C", "Risk", IF(DI19="T T", "Protective", "Het"))</f>
        <v>Protective</v>
      </c>
      <c r="DK19" s="7" t="s">
        <v>146</v>
      </c>
      <c r="DL19" s="7" t="str">
        <f aca="false">IF(DK19="A A", "Risk", IF(DK19="G G", "Protective", "Het"))</f>
        <v>Protective</v>
      </c>
      <c r="DM19" s="7" t="s">
        <v>155</v>
      </c>
      <c r="DN19" s="7" t="str">
        <f aca="false">IF(DM19="C C", "Risk", IF(DM19="G G", "Protective", "Het"))</f>
        <v>Het</v>
      </c>
      <c r="DO19" s="7" t="s">
        <v>146</v>
      </c>
      <c r="DP19" s="7" t="s">
        <v>148</v>
      </c>
      <c r="DQ19" s="7" t="s">
        <v>147</v>
      </c>
      <c r="DR19" s="7" t="s">
        <v>146</v>
      </c>
      <c r="DS19" s="7" t="s">
        <v>148</v>
      </c>
      <c r="DT19" s="7" t="s">
        <v>148</v>
      </c>
      <c r="DU19" s="7" t="s">
        <v>149</v>
      </c>
      <c r="DV19" s="7" t="s">
        <v>146</v>
      </c>
      <c r="DW19" s="7" t="s">
        <v>148</v>
      </c>
      <c r="DX19" s="7" t="s">
        <v>160</v>
      </c>
      <c r="DY19" s="7" t="s">
        <v>147</v>
      </c>
      <c r="DZ19" s="7" t="s">
        <v>149</v>
      </c>
      <c r="EA19" s="7" t="s">
        <v>146</v>
      </c>
      <c r="EB19" s="7" t="s">
        <v>148</v>
      </c>
      <c r="EC19" s="7" t="s">
        <v>146</v>
      </c>
      <c r="ED19" s="7" t="s">
        <v>146</v>
      </c>
      <c r="EE19" s="7" t="s">
        <v>146</v>
      </c>
      <c r="EF19" s="0"/>
    </row>
    <row r="20" s="7" customFormat="true" ht="15" hidden="false" customHeight="false" outlineLevel="0" collapsed="false">
      <c r="B20" s="7" t="s">
        <v>135</v>
      </c>
      <c r="D20" s="7" t="s">
        <v>191</v>
      </c>
      <c r="E20" s="2" t="n">
        <v>19001</v>
      </c>
      <c r="F20" s="2" t="s">
        <v>192</v>
      </c>
      <c r="G20" s="2" t="s">
        <v>136</v>
      </c>
      <c r="H20" s="2" t="s">
        <v>166</v>
      </c>
      <c r="I20" s="2" t="n">
        <v>29</v>
      </c>
      <c r="J20" s="2"/>
      <c r="K20" s="2" t="s">
        <v>139</v>
      </c>
      <c r="L20" s="14" t="n">
        <v>14</v>
      </c>
      <c r="M20" s="12" t="s">
        <v>140</v>
      </c>
      <c r="N20" s="7" t="s">
        <v>141</v>
      </c>
      <c r="O20" s="12" t="s">
        <v>142</v>
      </c>
      <c r="P20" s="12" t="s">
        <v>142</v>
      </c>
      <c r="Q20" s="2" t="n">
        <v>19.7</v>
      </c>
      <c r="R20" s="2" t="s">
        <v>186</v>
      </c>
      <c r="EF20" s="0"/>
    </row>
    <row r="21" s="13" customFormat="true" ht="15" hidden="false" customHeight="false" outlineLevel="0" collapsed="false">
      <c r="EF21" s="0"/>
    </row>
    <row r="22" s="13" customFormat="true" ht="15" hidden="false" customHeight="false" outlineLevel="0" collapsed="false">
      <c r="EF22" s="0"/>
    </row>
    <row r="23" s="1" customFormat="true" ht="15" hidden="false" customHeight="false" outlineLevel="0" collapsed="false">
      <c r="EF23" s="0"/>
    </row>
    <row r="24" s="1" customFormat="true" ht="15" hidden="false" customHeight="false" outlineLevel="0" collapsed="false">
      <c r="G24" s="7" t="s">
        <v>193</v>
      </c>
      <c r="H24" s="2" t="s">
        <v>138</v>
      </c>
      <c r="I24" s="7" t="n">
        <v>33</v>
      </c>
      <c r="K24" s="2" t="s">
        <v>139</v>
      </c>
      <c r="EF24" s="0"/>
    </row>
    <row r="25" s="13" customFormat="true" ht="15" hidden="false" customHeight="false" outlineLevel="0" collapsed="false">
      <c r="A25" s="7"/>
      <c r="B25" s="7"/>
      <c r="C25" s="7"/>
      <c r="D25" s="7"/>
      <c r="E25" s="2" t="n">
        <v>21010</v>
      </c>
      <c r="F25" s="2" t="s">
        <v>194</v>
      </c>
      <c r="G25" s="2" t="s">
        <v>136</v>
      </c>
      <c r="H25" s="2"/>
      <c r="I25" s="2"/>
      <c r="J25" s="2"/>
      <c r="K25" s="2" t="s">
        <v>178</v>
      </c>
      <c r="L25" s="2" t="n">
        <v>47</v>
      </c>
      <c r="M25" s="7" t="s">
        <v>158</v>
      </c>
      <c r="N25" s="7" t="s">
        <v>159</v>
      </c>
      <c r="O25" s="12" t="s">
        <v>142</v>
      </c>
      <c r="P25" s="12" t="s">
        <v>142</v>
      </c>
      <c r="Q25" s="2" t="n">
        <v>28.37</v>
      </c>
      <c r="R25" s="7" t="s">
        <v>143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0"/>
    </row>
    <row r="26" s="7" customFormat="true" ht="15" hidden="false" customHeight="false" outlineLevel="0" collapsed="false">
      <c r="C26" s="7" t="s">
        <v>135</v>
      </c>
      <c r="E26" s="2" t="s">
        <v>136</v>
      </c>
      <c r="F26" s="2" t="s">
        <v>136</v>
      </c>
      <c r="G26" s="7" t="s">
        <v>195</v>
      </c>
      <c r="H26" s="2"/>
      <c r="I26" s="2"/>
      <c r="J26" s="2"/>
      <c r="K26" s="2" t="s">
        <v>178</v>
      </c>
      <c r="L26" s="12" t="n">
        <v>4.65</v>
      </c>
      <c r="M26" s="12" t="s">
        <v>158</v>
      </c>
      <c r="N26" s="12" t="s">
        <v>159</v>
      </c>
      <c r="O26" s="12" t="n">
        <v>3.98</v>
      </c>
      <c r="P26" s="12" t="n">
        <v>5.1</v>
      </c>
      <c r="Q26" s="12" t="n">
        <v>14.5</v>
      </c>
      <c r="R26" s="7" t="s">
        <v>168</v>
      </c>
      <c r="S26" s="7" t="s">
        <v>169</v>
      </c>
      <c r="T26" s="7" t="s">
        <v>145</v>
      </c>
      <c r="U26" s="7" t="str">
        <f aca="false">IF(T26="G G", "Risk", IF(T26="A A", "Protective", "Het"))</f>
        <v>Het</v>
      </c>
      <c r="V26" s="7" t="s">
        <v>146</v>
      </c>
      <c r="W26" s="7" t="str">
        <f aca="false">IF(V26="G G", "Risk", IF(V26="A A", "Protective", "Het"))</f>
        <v>Risk</v>
      </c>
      <c r="X26" s="7" t="s">
        <v>148</v>
      </c>
      <c r="Y26" s="7" t="str">
        <f aca="false">IF(X26="T T", "Risk", IF(X26="C C", "Protective", "Het"))</f>
        <v>Protective</v>
      </c>
      <c r="Z26" s="7" t="s">
        <v>146</v>
      </c>
      <c r="AA26" s="7" t="str">
        <f aca="false">IF(Z26="G G", "Risk", IF(Z26="A A", "Protective", "Het"))</f>
        <v>Risk</v>
      </c>
      <c r="AB26" s="7" t="s">
        <v>148</v>
      </c>
      <c r="AC26" s="7" t="str">
        <f aca="false">IF(AB26="T T", "Risk", IF(AB26="C C", "Protective", "Het"))</f>
        <v>Protective</v>
      </c>
      <c r="AD26" s="7" t="s">
        <v>146</v>
      </c>
      <c r="AE26" s="7" t="str">
        <f aca="false">IF(AD26="A A", "Risk", IF(AD26="G G", "Protective", "Het"))</f>
        <v>Protective</v>
      </c>
      <c r="AF26" s="7" t="s">
        <v>146</v>
      </c>
      <c r="AG26" s="7" t="str">
        <f aca="false">IF(AF26="G G", "Risk", IF(AF26="T T", "Protective", "Het"))</f>
        <v>Risk</v>
      </c>
      <c r="AH26" s="7" t="s">
        <v>150</v>
      </c>
      <c r="AI26" s="7" t="str">
        <f aca="false">IF(AH26="TG TG", "Risk", IF(AH26="T T", "Protective", "Het"))</f>
        <v>Risk</v>
      </c>
      <c r="AJ26" s="7" t="s">
        <v>148</v>
      </c>
      <c r="AK26" s="7" t="str">
        <f aca="false">IF(AJ26="T T", "Risk", IF(AJ26="C C", "Protective", "Het"))</f>
        <v>Protective</v>
      </c>
      <c r="AL26" s="7" t="s">
        <v>146</v>
      </c>
      <c r="AM26" s="7" t="str">
        <f aca="false">IF(AL26="G G", "Risk", IF(AL26="A A", "Protective", "Het"))</f>
        <v>Risk</v>
      </c>
      <c r="AN26" s="7" t="s">
        <v>147</v>
      </c>
      <c r="AO26" s="7" t="str">
        <f aca="false">IF(AN26="T T", "Risk", IF(AN26="C C", "Protective", "Het"))</f>
        <v>Risk</v>
      </c>
      <c r="AP26" s="7" t="s">
        <v>148</v>
      </c>
      <c r="AQ26" s="7" t="str">
        <f aca="false">IF(AP26="C C", "Risk", IF(AP26="T T", "Protective", "Het"))</f>
        <v>Risk</v>
      </c>
      <c r="AR26" s="7" t="s">
        <v>145</v>
      </c>
      <c r="AS26" s="7" t="str">
        <f aca="false">IF(AR26="A A", "Risk", IF(AR26="G G", "Protective", "Het"))</f>
        <v>Het</v>
      </c>
      <c r="AT26" s="7" t="s">
        <v>149</v>
      </c>
      <c r="AU26" s="7" t="str">
        <f aca="false">IF(AT26="G G", "Risk", IF(AT26="A A", "Protective", "Het"))</f>
        <v>Protective</v>
      </c>
      <c r="AV26" s="7" t="s">
        <v>146</v>
      </c>
      <c r="AW26" s="7" t="str">
        <f aca="false">IF(AV26="G G", "Risk", IF(AV26="A A", "Protective", "Het"))</f>
        <v>Risk</v>
      </c>
      <c r="AX26" s="7" t="s">
        <v>148</v>
      </c>
      <c r="AY26" s="7" t="str">
        <f aca="false">IF(AX26="C C", "Risk", IF(AX26="T T", "Protective", "Het"))</f>
        <v>Risk</v>
      </c>
      <c r="AZ26" s="7" t="s">
        <v>152</v>
      </c>
      <c r="BA26" s="7" t="str">
        <f aca="false">IF(AZ26="C C", "Risk", IF(AZ26="T T", "Protective", "Het"))</f>
        <v>Het</v>
      </c>
      <c r="BB26" s="7" t="s">
        <v>145</v>
      </c>
      <c r="BC26" s="7" t="str">
        <f aca="false">IF(BB26="A A", "Risk", IF(BB26="G G", "Protective", "Het"))</f>
        <v>Het</v>
      </c>
      <c r="BD26" s="7" t="s">
        <v>146</v>
      </c>
      <c r="BE26" s="7" t="str">
        <f aca="false">IF(BD26="A A", "Risk", IF(BD26="G G", "Protective", "Het"))</f>
        <v>Protective</v>
      </c>
      <c r="BF26" s="7" t="s">
        <v>146</v>
      </c>
      <c r="BG26" s="7" t="str">
        <f aca="false">IF(BF26="G G", "Risk", IF(BF26="A A", "Protective", "Het"))</f>
        <v>Risk</v>
      </c>
      <c r="BH26" s="7" t="s">
        <v>145</v>
      </c>
      <c r="BI26" s="7" t="str">
        <f aca="false">IF(BH26="G G", "Risk", IF(BH26="A A", "Protective", "Het"))</f>
        <v>Het</v>
      </c>
      <c r="BJ26" s="7" t="s">
        <v>146</v>
      </c>
      <c r="BK26" s="7" t="str">
        <f aca="false">IF(BJ26="G G", "Risk", IF(BJ26="T T", "Protective", "Het"))</f>
        <v>Risk</v>
      </c>
      <c r="BL26" s="7" t="s">
        <v>148</v>
      </c>
      <c r="BM26" s="7" t="str">
        <f aca="false">IF(BL26="C C", "Risk", IF(BL26="T T", "Protective", "Het"))</f>
        <v>Risk</v>
      </c>
      <c r="BN26" s="7" t="s">
        <v>147</v>
      </c>
      <c r="BO26" s="7" t="str">
        <f aca="false">IF(BN26="T T", "Risk", IF(BN26="C C", "Protective", "Het"))</f>
        <v>Risk</v>
      </c>
      <c r="BP26" s="7" t="s">
        <v>145</v>
      </c>
      <c r="BQ26" s="7" t="str">
        <f aca="false">IF(BP26="A A", "Risk", IF(BP26="G G", "Protective", "Het"))</f>
        <v>Het</v>
      </c>
      <c r="BR26" s="7" t="s">
        <v>148</v>
      </c>
      <c r="BS26" s="7" t="str">
        <f aca="false">IF(BR26="C C", "Risk", IF(BR26="A A", "Protective", "Het"))</f>
        <v>Risk</v>
      </c>
      <c r="BT26" s="7" t="s">
        <v>151</v>
      </c>
      <c r="BU26" s="7" t="str">
        <f aca="false">IF(BT26="T T", "Risk", IF(BT26="C C", "Protective", "Het"))</f>
        <v>Het</v>
      </c>
      <c r="BV26" s="7" t="s">
        <v>145</v>
      </c>
      <c r="BW26" s="7" t="str">
        <f aca="false">IF(BV26="A A", "Risk", IF(BV26="G G", "Protective", "Het"))</f>
        <v>Het</v>
      </c>
      <c r="BX26" s="7" t="s">
        <v>154</v>
      </c>
      <c r="BY26" s="7" t="str">
        <f aca="false">IF(BX26="A A", "Risk", IF(BX26="G G", "Protective", "Het"))</f>
        <v>Het</v>
      </c>
      <c r="BZ26" s="7" t="s">
        <v>152</v>
      </c>
      <c r="CA26" s="7" t="str">
        <f aca="false">IF(BZ26="C C", "Risk", IF(BZ26="T T", "Protective", "Het"))</f>
        <v>Het</v>
      </c>
      <c r="CB26" s="7" t="s">
        <v>146</v>
      </c>
      <c r="CC26" s="7" t="str">
        <f aca="false">IF(CB26="G G", "Risk", IF(CB26="T T", "Protective", "Het"))</f>
        <v>Risk</v>
      </c>
      <c r="CD26" s="7" t="s">
        <v>156</v>
      </c>
      <c r="CE26" s="7" t="str">
        <f aca="false">IF(CD26="T T", "Risk", IF(CD26="A A", "Protective", "Het"))</f>
        <v>Het</v>
      </c>
      <c r="CF26" s="7" t="s">
        <v>151</v>
      </c>
      <c r="CG26" s="7" t="str">
        <f aca="false">IF(CF26="C C", "Risk", IF(CF26="T T", "Protective", "Het"))</f>
        <v>Het</v>
      </c>
      <c r="CH26" s="7" t="s">
        <v>148</v>
      </c>
      <c r="CI26" s="7" t="s">
        <v>147</v>
      </c>
      <c r="CJ26" s="7" t="str">
        <f aca="false">IF(CI26="T T", "Risk", IF(CI26="C C", "Protective", "Het"))</f>
        <v>Risk</v>
      </c>
      <c r="CK26" s="7" t="s">
        <v>152</v>
      </c>
      <c r="CL26" s="7" t="str">
        <f aca="false">IF(CK26="T T", "Risk", IF(CK26="C C", "Protective", "Het"))</f>
        <v>Het</v>
      </c>
      <c r="CM26" s="7" t="s">
        <v>152</v>
      </c>
      <c r="CN26" s="7" t="str">
        <f aca="false">IF(CM26="T T", "Risk", IF(CM26="C C", "Protective", "Het"))</f>
        <v>Het</v>
      </c>
      <c r="CO26" s="7" t="s">
        <v>146</v>
      </c>
      <c r="CP26" s="7" t="str">
        <f aca="false">IF(CO26="A A", "Risk", IF(CO26="G G", "Protective", "Het"))</f>
        <v>Protective</v>
      </c>
      <c r="CQ26" s="7" t="s">
        <v>147</v>
      </c>
      <c r="CR26" s="7" t="str">
        <f aca="false">IF(CQ26="T T", "Risk", IF(CQ26="A A", "Protective", "Het"))</f>
        <v>Risk</v>
      </c>
      <c r="CS26" s="7" t="s">
        <v>151</v>
      </c>
      <c r="CT26" s="7" t="str">
        <f aca="false">IF(CS26="T T", "Risk", IF(CS26="C C", "Protective", "Het"))</f>
        <v>Het</v>
      </c>
      <c r="CU26" s="7" t="s">
        <v>151</v>
      </c>
      <c r="CV26" s="7" t="str">
        <f aca="false">IF(CU26="C C", "Risk", IF(CU26="T T", "Protective", "Het"))</f>
        <v>Het</v>
      </c>
      <c r="CW26" s="7" t="s">
        <v>162</v>
      </c>
      <c r="CX26" s="7" t="str">
        <f aca="false">IF(CW26="G G", "Risk", IF(CW26="C C", "Protective", "Het"))</f>
        <v>Het</v>
      </c>
      <c r="CY26" s="7" t="s">
        <v>149</v>
      </c>
      <c r="CZ26" s="7" t="str">
        <f aca="false">IF(CY26="A A", "Risk", IF(CY26="G G", "Protective", "Het"))</f>
        <v>Risk</v>
      </c>
      <c r="DA26" s="7" t="s">
        <v>146</v>
      </c>
      <c r="DB26" s="7" t="str">
        <f aca="false">IF(DA26="A A", "Risk", IF(DA26="G G", "Protective", "Het"))</f>
        <v>Protective</v>
      </c>
      <c r="DC26" s="7" t="s">
        <v>148</v>
      </c>
      <c r="DD26" s="7" t="str">
        <f aca="false">IF(DC26="C C", "Risk", IF(DC26="A A", "Protective", "Het"))</f>
        <v>Risk</v>
      </c>
      <c r="DE26" s="7" t="s">
        <v>147</v>
      </c>
      <c r="DF26" s="7" t="str">
        <f aca="false">IF(DE26="T T", "Risk", IF(DE26="C C", "Protective", "Het"))</f>
        <v>Risk</v>
      </c>
      <c r="DG26" s="7" t="s">
        <v>146</v>
      </c>
      <c r="DH26" s="7" t="str">
        <f aca="false">IF(DG26="T T", "Risk", IF(DG26="G G", "Protective", "Het"))</f>
        <v>Protective</v>
      </c>
      <c r="DI26" s="7" t="s">
        <v>151</v>
      </c>
      <c r="DJ26" s="7" t="str">
        <f aca="false">IF(DI26="C C", "Risk", IF(DI26="T T", "Protective", "Het"))</f>
        <v>Het</v>
      </c>
      <c r="DK26" s="7" t="s">
        <v>146</v>
      </c>
      <c r="DL26" s="7" t="str">
        <f aca="false">IF(DK26="A A", "Risk", IF(DK26="G G", "Protective", "Het"))</f>
        <v>Protective</v>
      </c>
      <c r="DM26" s="7" t="s">
        <v>146</v>
      </c>
      <c r="DN26" s="7" t="str">
        <f aca="false">IF(DM26="C C", "Risk", IF(DM26="G G", "Protective", "Het"))</f>
        <v>Protective</v>
      </c>
      <c r="DO26" s="7" t="s">
        <v>146</v>
      </c>
      <c r="DP26" s="7" t="s">
        <v>148</v>
      </c>
      <c r="DQ26" s="7" t="s">
        <v>147</v>
      </c>
      <c r="DR26" s="7" t="s">
        <v>146</v>
      </c>
      <c r="DS26" s="7" t="s">
        <v>148</v>
      </c>
      <c r="DT26" s="7" t="s">
        <v>148</v>
      </c>
      <c r="DU26" s="7" t="s">
        <v>146</v>
      </c>
      <c r="DV26" s="7" t="s">
        <v>145</v>
      </c>
      <c r="DW26" s="7" t="s">
        <v>148</v>
      </c>
      <c r="DX26" s="7" t="s">
        <v>148</v>
      </c>
      <c r="DY26" s="7" t="s">
        <v>147</v>
      </c>
      <c r="DZ26" s="7" t="s">
        <v>149</v>
      </c>
      <c r="EA26" s="7" t="s">
        <v>146</v>
      </c>
      <c r="EB26" s="7" t="s">
        <v>148</v>
      </c>
      <c r="EC26" s="7" t="s">
        <v>146</v>
      </c>
      <c r="ED26" s="7" t="s">
        <v>146</v>
      </c>
      <c r="EE26" s="7" t="s">
        <v>146</v>
      </c>
      <c r="EF26" s="0"/>
    </row>
    <row r="27" s="7" customFormat="true" ht="15" hidden="false" customHeight="false" outlineLevel="0" collapsed="false">
      <c r="B27" s="7" t="s">
        <v>135</v>
      </c>
      <c r="D27" s="7" t="s">
        <v>196</v>
      </c>
      <c r="E27" s="2" t="n">
        <v>19003</v>
      </c>
      <c r="F27" s="2" t="s">
        <v>197</v>
      </c>
      <c r="G27" s="7" t="s">
        <v>198</v>
      </c>
      <c r="H27" s="2"/>
      <c r="I27" s="2"/>
      <c r="J27" s="2"/>
      <c r="K27" s="2"/>
      <c r="L27" s="12" t="n">
        <v>18.78</v>
      </c>
      <c r="M27" s="12" t="s">
        <v>158</v>
      </c>
      <c r="N27" s="12" t="s">
        <v>141</v>
      </c>
      <c r="O27" s="12" t="n">
        <v>13.69</v>
      </c>
      <c r="P27" s="12" t="n">
        <v>5.3</v>
      </c>
      <c r="Q27" s="12" t="n">
        <v>27.1</v>
      </c>
      <c r="R27" s="7" t="s">
        <v>168</v>
      </c>
      <c r="S27" s="7" t="s">
        <v>169</v>
      </c>
      <c r="T27" s="7" t="s">
        <v>145</v>
      </c>
      <c r="U27" s="7" t="str">
        <f aca="false">IF(T27="G G", "Risk", IF(T27="A A", "Protective", "Het"))</f>
        <v>Het</v>
      </c>
      <c r="V27" s="7" t="s">
        <v>146</v>
      </c>
      <c r="W27" s="7" t="str">
        <f aca="false">IF(V27="G G", "Risk", IF(V27="A A", "Protective", "Het"))</f>
        <v>Risk</v>
      </c>
      <c r="X27" s="7" t="s">
        <v>148</v>
      </c>
      <c r="Y27" s="7" t="str">
        <f aca="false">IF(X27="T T", "Risk", IF(X27="C C", "Protective", "Het"))</f>
        <v>Protective</v>
      </c>
      <c r="Z27" s="7" t="s">
        <v>146</v>
      </c>
      <c r="AA27" s="7" t="str">
        <f aca="false">IF(Z27="G G", "Risk", IF(Z27="A A", "Protective", "Het"))</f>
        <v>Risk</v>
      </c>
      <c r="AB27" s="7" t="s">
        <v>148</v>
      </c>
      <c r="AC27" s="7" t="str">
        <f aca="false">IF(AB27="T T", "Risk", IF(AB27="C C", "Protective", "Het"))</f>
        <v>Protective</v>
      </c>
      <c r="AD27" s="7" t="s">
        <v>149</v>
      </c>
      <c r="AE27" s="7" t="str">
        <f aca="false">IF(AD27="A A", "Risk", IF(AD27="G G", "Protective", "Het"))</f>
        <v>Risk</v>
      </c>
      <c r="AF27" s="7" t="s">
        <v>146</v>
      </c>
      <c r="AG27" s="7" t="str">
        <f aca="false">IF(AF27="G G", "Risk", IF(AF27="T T", "Protective", "Het"))</f>
        <v>Risk</v>
      </c>
      <c r="AH27" s="7" t="s">
        <v>150</v>
      </c>
      <c r="AI27" s="7" t="str">
        <f aca="false">IF(AH27="TG TG", "Risk", IF(AH27="T T", "Protective", "Het"))</f>
        <v>Risk</v>
      </c>
      <c r="AJ27" s="7" t="s">
        <v>148</v>
      </c>
      <c r="AK27" s="7" t="str">
        <f aca="false">IF(AJ27="T T", "Risk", IF(AJ27="C C", "Protective", "Het"))</f>
        <v>Protective</v>
      </c>
      <c r="AL27" s="7" t="s">
        <v>145</v>
      </c>
      <c r="AM27" s="7" t="str">
        <f aca="false">IF(AL27="G G", "Risk", IF(AL27="A A", "Protective", "Het"))</f>
        <v>Het</v>
      </c>
      <c r="AN27" s="7" t="s">
        <v>151</v>
      </c>
      <c r="AO27" s="7" t="str">
        <f aca="false">IF(AN27="T T", "Risk", IF(AN27="C C", "Protective", "Het"))</f>
        <v>Het</v>
      </c>
      <c r="AP27" s="7" t="s">
        <v>152</v>
      </c>
      <c r="AQ27" s="7" t="str">
        <f aca="false">IF(AP27="C C", "Risk", IF(AP27="T T", "Protective", "Het"))</f>
        <v>Het</v>
      </c>
      <c r="AR27" s="7" t="s">
        <v>146</v>
      </c>
      <c r="AS27" s="7" t="str">
        <f aca="false">IF(AR27="A A", "Risk", IF(AR27="G G", "Protective", "Het"))</f>
        <v>Protective</v>
      </c>
      <c r="AT27" s="7" t="s">
        <v>154</v>
      </c>
      <c r="AU27" s="7" t="str">
        <f aca="false">IF(AT27="G G", "Risk", IF(AT27="A A", "Protective", "Het"))</f>
        <v>Het</v>
      </c>
      <c r="AV27" s="7" t="s">
        <v>145</v>
      </c>
      <c r="AW27" s="7" t="str">
        <f aca="false">IF(AV27="G G", "Risk", IF(AV27="A A", "Protective", "Het"))</f>
        <v>Het</v>
      </c>
      <c r="AX27" s="7" t="s">
        <v>148</v>
      </c>
      <c r="AY27" s="7" t="str">
        <f aca="false">IF(AX27="C C", "Risk", IF(AX27="T T", "Protective", "Het"))</f>
        <v>Risk</v>
      </c>
      <c r="AZ27" s="7" t="s">
        <v>148</v>
      </c>
      <c r="BA27" s="7" t="str">
        <f aca="false">IF(AZ27="C C", "Risk", IF(AZ27="T T", "Protective", "Het"))</f>
        <v>Risk</v>
      </c>
      <c r="BB27" s="7" t="s">
        <v>145</v>
      </c>
      <c r="BC27" s="7" t="str">
        <f aca="false">IF(BB27="A A", "Risk", IF(BB27="G G", "Protective", "Het"))</f>
        <v>Het</v>
      </c>
      <c r="BD27" s="7" t="s">
        <v>146</v>
      </c>
      <c r="BE27" s="7" t="str">
        <f aca="false">IF(BD27="A A", "Risk", IF(BD27="G G", "Protective", "Het"))</f>
        <v>Protective</v>
      </c>
      <c r="BF27" s="7" t="s">
        <v>146</v>
      </c>
      <c r="BG27" s="7" t="str">
        <f aca="false">IF(BF27="G G", "Risk", IF(BF27="A A", "Protective", "Het"))</f>
        <v>Risk</v>
      </c>
      <c r="BH27" s="7" t="s">
        <v>146</v>
      </c>
      <c r="BI27" s="7" t="str">
        <f aca="false">IF(BH27="G G", "Risk", IF(BH27="A A", "Protective", "Het"))</f>
        <v>Risk</v>
      </c>
      <c r="BJ27" s="7" t="s">
        <v>147</v>
      </c>
      <c r="BK27" s="7" t="str">
        <f aca="false">IF(BJ27="G G", "Risk", IF(BJ27="T T", "Protective", "Het"))</f>
        <v>Protective</v>
      </c>
      <c r="BL27" s="7" t="s">
        <v>148</v>
      </c>
      <c r="BM27" s="7" t="str">
        <f aca="false">IF(BL27="C C", "Risk", IF(BL27="T T", "Protective", "Het"))</f>
        <v>Risk</v>
      </c>
      <c r="BN27" s="7" t="s">
        <v>147</v>
      </c>
      <c r="BO27" s="7" t="str">
        <f aca="false">IF(BN27="T T", "Risk", IF(BN27="C C", "Protective", "Het"))</f>
        <v>Risk</v>
      </c>
      <c r="BP27" s="7" t="s">
        <v>145</v>
      </c>
      <c r="BQ27" s="7" t="str">
        <f aca="false">IF(BP27="A A", "Risk", IF(BP27="G G", "Protective", "Het"))</f>
        <v>Het</v>
      </c>
      <c r="BR27" s="7" t="s">
        <v>148</v>
      </c>
      <c r="BS27" s="7" t="str">
        <f aca="false">IF(BR27="C C", "Risk", IF(BR27="A A", "Protective", "Het"))</f>
        <v>Risk</v>
      </c>
      <c r="BT27" s="7" t="s">
        <v>147</v>
      </c>
      <c r="BU27" s="7" t="str">
        <f aca="false">IF(BT27="T T", "Risk", IF(BT27="C C", "Protective", "Het"))</f>
        <v>Risk</v>
      </c>
      <c r="BV27" s="7" t="s">
        <v>146</v>
      </c>
      <c r="BW27" s="7" t="str">
        <f aca="false">IF(BV27="A A", "Risk", IF(BV27="G G", "Protective", "Het"))</f>
        <v>Protective</v>
      </c>
      <c r="BX27" s="7" t="s">
        <v>154</v>
      </c>
      <c r="BY27" s="7" t="str">
        <f aca="false">IF(BX27="A A", "Risk", IF(BX27="G G", "Protective", "Het"))</f>
        <v>Het</v>
      </c>
      <c r="BZ27" s="7" t="s">
        <v>148</v>
      </c>
      <c r="CA27" s="7" t="str">
        <f aca="false">IF(BZ27="C C", "Risk", IF(BZ27="T T", "Protective", "Het"))</f>
        <v>Risk</v>
      </c>
      <c r="CB27" s="7" t="s">
        <v>146</v>
      </c>
      <c r="CC27" s="7" t="str">
        <f aca="false">IF(CB27="G G", "Risk", IF(CB27="T T", "Protective", "Het"))</f>
        <v>Risk</v>
      </c>
      <c r="CD27" s="7" t="s">
        <v>156</v>
      </c>
      <c r="CE27" s="7" t="str">
        <f aca="false">IF(CD27="T T", "Risk", IF(CD27="A A", "Protective", "Het"))</f>
        <v>Het</v>
      </c>
      <c r="CF27" s="7" t="s">
        <v>151</v>
      </c>
      <c r="CG27" s="7" t="str">
        <f aca="false">IF(CF27="C C", "Risk", IF(CF27="T T", "Protective", "Het"))</f>
        <v>Het</v>
      </c>
      <c r="CH27" s="7" t="s">
        <v>148</v>
      </c>
      <c r="CI27" s="7" t="s">
        <v>147</v>
      </c>
      <c r="CJ27" s="7" t="str">
        <f aca="false">IF(CI27="T T", "Risk", IF(CI27="C C", "Protective", "Het"))</f>
        <v>Risk</v>
      </c>
      <c r="CK27" s="7" t="s">
        <v>148</v>
      </c>
      <c r="CL27" s="7" t="str">
        <f aca="false">IF(CK27="T T", "Risk", IF(CK27="C C", "Protective", "Het"))</f>
        <v>Protective</v>
      </c>
      <c r="CM27" s="7" t="s">
        <v>148</v>
      </c>
      <c r="CN27" s="7" t="str">
        <f aca="false">IF(CM27="T T", "Risk", IF(CM27="C C", "Protective", "Het"))</f>
        <v>Protective</v>
      </c>
      <c r="CO27" s="7" t="s">
        <v>146</v>
      </c>
      <c r="CP27" s="7" t="str">
        <f aca="false">IF(CO27="A A", "Risk", IF(CO27="G G", "Protective", "Het"))</f>
        <v>Protective</v>
      </c>
      <c r="CQ27" s="7" t="s">
        <v>147</v>
      </c>
      <c r="CR27" s="7" t="str">
        <f aca="false">IF(CQ27="T T", "Risk", IF(CQ27="A A", "Protective", "Het"))</f>
        <v>Risk</v>
      </c>
      <c r="CS27" s="7" t="s">
        <v>147</v>
      </c>
      <c r="CT27" s="7" t="str">
        <f aca="false">IF(CS27="T T", "Risk", IF(CS27="C C", "Protective", "Het"))</f>
        <v>Risk</v>
      </c>
      <c r="CU27" s="7" t="s">
        <v>147</v>
      </c>
      <c r="CV27" s="7" t="str">
        <f aca="false">IF(CU27="C C", "Risk", IF(CU27="T T", "Protective", "Het"))</f>
        <v>Protective</v>
      </c>
      <c r="CW27" s="7" t="s">
        <v>148</v>
      </c>
      <c r="CX27" s="7" t="str">
        <f aca="false">IF(CW27="G G", "Risk", IF(CW27="C C", "Protective", "Het"))</f>
        <v>Protective</v>
      </c>
      <c r="CY27" s="7" t="s">
        <v>149</v>
      </c>
      <c r="CZ27" s="7" t="str">
        <f aca="false">IF(CY27="A A", "Risk", IF(CY27="G G", "Protective", "Het"))</f>
        <v>Risk</v>
      </c>
      <c r="DA27" s="7" t="s">
        <v>154</v>
      </c>
      <c r="DB27" s="7" t="str">
        <f aca="false">IF(DA27="A A", "Risk", IF(DA27="G G", "Protective", "Het"))</f>
        <v>Het</v>
      </c>
      <c r="DC27" s="7" t="s">
        <v>148</v>
      </c>
      <c r="DD27" s="7" t="str">
        <f aca="false">IF(DC27="C C", "Risk", IF(DC27="A A", "Protective", "Het"))</f>
        <v>Risk</v>
      </c>
      <c r="DE27" s="7" t="s">
        <v>151</v>
      </c>
      <c r="DF27" s="7" t="str">
        <f aca="false">IF(DE27="T T", "Risk", IF(DE27="C C", "Protective", "Het"))</f>
        <v>Het</v>
      </c>
      <c r="DG27" s="7" t="s">
        <v>146</v>
      </c>
      <c r="DH27" s="7" t="str">
        <f aca="false">IF(DG27="T T", "Risk", IF(DG27="G G", "Protective", "Het"))</f>
        <v>Protective</v>
      </c>
      <c r="DI27" s="7" t="s">
        <v>147</v>
      </c>
      <c r="DJ27" s="7" t="str">
        <f aca="false">IF(DI27="C C", "Risk", IF(DI27="T T", "Protective", "Het"))</f>
        <v>Protective</v>
      </c>
      <c r="DK27" s="7" t="s">
        <v>146</v>
      </c>
      <c r="DL27" s="7" t="str">
        <f aca="false">IF(DK27="A A", "Risk", IF(DK27="G G", "Protective", "Het"))</f>
        <v>Protective</v>
      </c>
      <c r="DM27" s="7" t="s">
        <v>155</v>
      </c>
      <c r="DN27" s="7" t="str">
        <f aca="false">IF(DM27="C C", "Risk", IF(DM27="G G", "Protective", "Het"))</f>
        <v>Het</v>
      </c>
      <c r="DO27" s="7" t="s">
        <v>146</v>
      </c>
      <c r="DP27" s="7" t="s">
        <v>148</v>
      </c>
      <c r="DQ27" s="7" t="s">
        <v>147</v>
      </c>
      <c r="DR27" s="7" t="s">
        <v>146</v>
      </c>
      <c r="DS27" s="7" t="s">
        <v>152</v>
      </c>
      <c r="DT27" s="7" t="s">
        <v>148</v>
      </c>
      <c r="DU27" s="7" t="s">
        <v>146</v>
      </c>
      <c r="DV27" s="7" t="s">
        <v>145</v>
      </c>
      <c r="DW27" s="7" t="s">
        <v>148</v>
      </c>
      <c r="DX27" s="7" t="s">
        <v>148</v>
      </c>
      <c r="DY27" s="7" t="s">
        <v>147</v>
      </c>
      <c r="DZ27" s="7" t="s">
        <v>149</v>
      </c>
      <c r="EA27" s="7" t="s">
        <v>146</v>
      </c>
      <c r="EB27" s="7" t="s">
        <v>148</v>
      </c>
      <c r="EC27" s="7" t="s">
        <v>146</v>
      </c>
      <c r="ED27" s="7" t="s">
        <v>146</v>
      </c>
      <c r="EE27" s="7" t="s">
        <v>145</v>
      </c>
      <c r="EF27" s="0"/>
    </row>
    <row r="29" customFormat="false" ht="15" hidden="false" customHeight="false" outlineLevel="0" collapsed="false">
      <c r="E29" s="7"/>
      <c r="F29" s="7"/>
      <c r="H29" s="7"/>
      <c r="I29" s="7"/>
      <c r="J29" s="7"/>
      <c r="K29" s="7"/>
      <c r="R29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2026-02-24T12:18:39Z</dcterms:created>
  <dc:creator/>
  <dc:description/>
  <dc:language>en-US</dc:language>
  <cp:lastModifiedBy/>
  <dcterms:modified xsi:type="dcterms:W3CDTF">2026-03-14T12:12:02Z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